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2 Departamentos\3 ADMINISTRACION\00 HABITAT\00 HABITAT CRM VENTAS\00 FINAL YESSENIA-JENNY\ANEXOS\ANEXOS\URB SAN FERNANDO CASA - SOLES 2023\"/>
    </mc:Choice>
  </mc:AlternateContent>
  <xr:revisionPtr revIDLastSave="0" documentId="13_ncr:1_{810B1CC5-4F63-4FAE-B852-0238E55DCBA1}" xr6:coauthVersionLast="46" xr6:coauthVersionMax="47" xr10:uidLastSave="{00000000-0000-0000-0000-000000000000}"/>
  <bookViews>
    <workbookView showHorizontalScroll="0" showVerticalScroll="0" xWindow="-108" yWindow="-108" windowWidth="23256" windowHeight="12576" xr2:uid="{00000000-000D-0000-FFFF-FFFF00000000}"/>
  </bookViews>
  <sheets>
    <sheet name="DATOS GENERALES" sheetId="1" r:id="rId1"/>
  </sheets>
  <definedNames>
    <definedName name="apellidos_cliente">'DATOS GENERALES'!$B$6</definedName>
    <definedName name="apellidos_conyuge">'DATOS GENERALES'!$B$12</definedName>
    <definedName name="cuota">#REF!</definedName>
    <definedName name="dia_pago">'DATOS GENERALES'!$G$10</definedName>
    <definedName name="direccion_cliente">'DATOS GENERALES'!$B$15</definedName>
    <definedName name="dni_cliente">'DATOS GENERALES'!$B$7</definedName>
    <definedName name="dni_conyuge">'DATOS GENERALES'!$B$13</definedName>
    <definedName name="fecha_inicio">'DATOS GENERALES'!$G$3</definedName>
    <definedName name="int_mensual">'DATOS GENERALES'!$G$12</definedName>
    <definedName name="interes_mensual">#REF!</definedName>
    <definedName name="interes_mensual_x">#REF!</definedName>
    <definedName name="l_cliente">#REF!</definedName>
    <definedName name="l_cliente_aceptante">#REF!</definedName>
    <definedName name="l_conyuge_aceptante">#REF!</definedName>
    <definedName name="l_datos_lote">#REF!</definedName>
    <definedName name="l_direccion_cliente">#REF!</definedName>
    <definedName name="l_dni_cliente">#REF!</definedName>
    <definedName name="l_dni_conyuge">#REF!</definedName>
    <definedName name="l_fecha_giro">#REF!</definedName>
    <definedName name="l_fecha_vence">#REF!</definedName>
    <definedName name="l_importe">#REF!</definedName>
    <definedName name="l_importe_en_letras">#REF!</definedName>
    <definedName name="l_nombre_cliente">#REF!</definedName>
    <definedName name="l_nombre_conyuge">#REF!</definedName>
    <definedName name="l_numero_letra">#REF!</definedName>
    <definedName name="lote">'DATOS GENERALES'!$G$16</definedName>
    <definedName name="manzana">'DATOS GENERALES'!$G$15</definedName>
    <definedName name="nombre_cliente">'DATOS GENERALES'!$B$5</definedName>
    <definedName name="nombre_conyuge">'DATOS GENERALES'!$B$11</definedName>
    <definedName name="numero_cuotas">'DATOS GENERALES'!$G$9</definedName>
    <definedName name="prestamo">'DATOS GENERALES'!$G$8</definedName>
    <definedName name="te_mensual">'DATOS GENERALES'!$G$12</definedName>
    <definedName name="tea">'DATOS GENERALES'!$G$11</definedName>
    <definedName name="valor_cuota">'DATOS GENERALES'!$G$18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G7" i="1"/>
  <c r="I7" i="1" l="1"/>
  <c r="I9" i="1" s="1"/>
  <c r="G5" i="1"/>
  <c r="G8" i="1" l="1"/>
  <c r="G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yobregonc</author>
  </authors>
  <commentList>
    <comment ref="G5" authorId="0" shapeId="0" xr:uid="{A201FB80-46B6-4282-BE39-3D9F439A66C9}">
      <text>
        <r>
          <rPr>
            <b/>
            <sz val="9"/>
            <color indexed="81"/>
            <rFont val="Tahoma"/>
            <family val="2"/>
          </rPr>
          <t xml:space="preserve">yobregonc
NO LLENAR </t>
        </r>
        <r>
          <rPr>
            <sz val="9"/>
            <color indexed="81"/>
            <rFont val="Tahoma"/>
            <family val="2"/>
          </rPr>
          <t>Jala datos del costado</t>
        </r>
      </text>
    </comment>
    <comment ref="G6" authorId="0" shapeId="0" xr:uid="{6673E33A-EF06-4BA5-AF54-509BEE51E6EE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NO LLENAR Jala datos del costado</t>
        </r>
      </text>
    </comment>
    <comment ref="G8" authorId="0" shapeId="0" xr:uid="{5F341DB2-619D-493F-B9EE-9D896918470B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NO LLENAR, ES automatico
</t>
        </r>
      </text>
    </comment>
    <comment ref="G9" authorId="0" shapeId="0" xr:uid="{AC7D12DE-6987-4CCB-B3CA-FD1B3ADC6724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Llenar</t>
        </r>
      </text>
    </comment>
    <comment ref="G18" authorId="0" shapeId="0" xr:uid="{CD008C1D-604A-459A-9B8D-809BC1BACDC8}">
      <text>
        <r>
          <rPr>
            <b/>
            <sz val="9"/>
            <color indexed="81"/>
            <rFont val="Tahoma"/>
            <family val="2"/>
          </rPr>
          <t>yobregonc:</t>
        </r>
        <r>
          <rPr>
            <sz val="9"/>
            <color indexed="81"/>
            <rFont val="Tahoma"/>
            <family val="2"/>
          </rPr>
          <t xml:space="preserve">
NO LLENAR es automatico</t>
        </r>
      </text>
    </comment>
  </commentList>
</comments>
</file>

<file path=xl/sharedStrings.xml><?xml version="1.0" encoding="utf-8"?>
<sst xmlns="http://schemas.openxmlformats.org/spreadsheetml/2006/main" count="164" uniqueCount="104">
  <si>
    <t xml:space="preserve">DATOS DEL CLIENTE </t>
  </si>
  <si>
    <t xml:space="preserve">NOMBRES </t>
  </si>
  <si>
    <t xml:space="preserve">APELLIDOS </t>
  </si>
  <si>
    <t>N° DNI</t>
  </si>
  <si>
    <t xml:space="preserve">DATOS DEL CÓNYUGE </t>
  </si>
  <si>
    <t xml:space="preserve">CUOTA INICIAL </t>
  </si>
  <si>
    <t xml:space="preserve">SALDO A FINANCIAR </t>
  </si>
  <si>
    <t>FECHA DEL CREDITO</t>
  </si>
  <si>
    <t xml:space="preserve">TASA EFECTIVA MENSUAL </t>
  </si>
  <si>
    <t>PLAZO EN MESES</t>
  </si>
  <si>
    <t>MANZANA</t>
  </si>
  <si>
    <t>LOTE</t>
  </si>
  <si>
    <t>IMPORTANTE :  PROCESO DE RECAUDACION</t>
  </si>
  <si>
    <t>TASA EFECTIVA ANUAL (TEA)</t>
  </si>
  <si>
    <t>Cuota</t>
  </si>
  <si>
    <t>Vencimiento</t>
  </si>
  <si>
    <t>Intereses</t>
  </si>
  <si>
    <t>N° de Cuota</t>
  </si>
  <si>
    <t>Amortización</t>
  </si>
  <si>
    <t>DIA DE PAGO DE CADA MES</t>
  </si>
  <si>
    <t>CUOTA</t>
  </si>
  <si>
    <t>FIRMA DEL_x000D_
CLIENTE</t>
  </si>
  <si>
    <t>FIRMA DEL_x000D_
CONYUGE</t>
  </si>
  <si>
    <t xml:space="preserve">NOMBRES: </t>
  </si>
  <si>
    <t xml:space="preserve">APELLIDOS: </t>
  </si>
  <si>
    <t xml:space="preserve">N° DNI: </t>
  </si>
  <si>
    <t>Días</t>
  </si>
  <si>
    <t>Saldo Capital</t>
  </si>
  <si>
    <t>DIRECCIÓN</t>
  </si>
  <si>
    <t>TELÉFONO</t>
  </si>
  <si>
    <t>E-MAIL</t>
  </si>
  <si>
    <t>M2</t>
  </si>
  <si>
    <t xml:space="preserve">    Indicar su numero de  DNI y le indicaran el monto de su cuota</t>
  </si>
  <si>
    <t>* Si debe mas de dos meses consecutivos o alternados COPRODELI podrá resolver el contrato.</t>
  </si>
  <si>
    <t>* Las cuotas mensuales se  pagan en el BANBIF  cuenta  Recaudación  COPRODELI -CON DATA -  Sóles</t>
  </si>
  <si>
    <t>URBANIZACION LAS PALMERAS DE SAN FERNANDO</t>
  </si>
  <si>
    <t xml:space="preserve">CRONOGRAMA  DE PAGOS DE CASAS </t>
  </si>
  <si>
    <t>* Hay una mora de S/. 2.00  diarios después del vencimiento de cada cuota.</t>
  </si>
  <si>
    <t>Valor de vivienda</t>
  </si>
  <si>
    <t>Saldo a financiar  soles</t>
  </si>
  <si>
    <t>VALOR DE LA CASA</t>
  </si>
  <si>
    <t>*Pago en  KASNET  cuenta  Recaudación  COPRODELI -Concepto CUOTAS</t>
  </si>
  <si>
    <r>
      <t xml:space="preserve">* Debe enviar al correo </t>
    </r>
    <r>
      <rPr>
        <b/>
        <sz val="11"/>
        <rFont val="Calibri"/>
        <family val="2"/>
        <scheme val="minor"/>
      </rPr>
      <t xml:space="preserve">cobranza@coprodeli.org o al WhatsApp 989 172 061  Sede Callao </t>
    </r>
    <r>
      <rPr>
        <sz val="11"/>
        <rFont val="Calibri"/>
        <family val="2"/>
        <scheme val="minor"/>
      </rPr>
      <t xml:space="preserve">, el voucher de pagos mensual, </t>
    </r>
  </si>
  <si>
    <t xml:space="preserve">    indicando en el ASUNTO de correo :  NOMBRES Y APELLIDOS - DNI - MZ Y  LT - Mes de Cuota - CASA</t>
  </si>
  <si>
    <t>S/ 0.00</t>
  </si>
  <si>
    <t>LLENAR ESTOS DATOS PARA CARGA AUTOMATICO AL CRONOGRAMA</t>
  </si>
  <si>
    <t>5% Inicial</t>
  </si>
  <si>
    <t>30/05/2025</t>
  </si>
  <si>
    <t>30/06/2025</t>
  </si>
  <si>
    <t>30/07/2025</t>
  </si>
  <si>
    <t>30/08/2025</t>
  </si>
  <si>
    <t>30/09/2025</t>
  </si>
  <si>
    <t>30/10/2025</t>
  </si>
  <si>
    <t>30/11/2025</t>
  </si>
  <si>
    <t>30/12/2025</t>
  </si>
  <si>
    <t>30/01/2026</t>
  </si>
  <si>
    <t>28/02/2026</t>
  </si>
  <si>
    <t>30/03/2026</t>
  </si>
  <si>
    <t>30/04/2026</t>
  </si>
  <si>
    <t>30/05/2026</t>
  </si>
  <si>
    <t>30/06/2026</t>
  </si>
  <si>
    <t>30/07/2026</t>
  </si>
  <si>
    <t>30/08/2026</t>
  </si>
  <si>
    <t>30/09/2026</t>
  </si>
  <si>
    <t>30/10/2026</t>
  </si>
  <si>
    <t>30/11/2026</t>
  </si>
  <si>
    <t>30/12/2026</t>
  </si>
  <si>
    <t>30/01/2027</t>
  </si>
  <si>
    <t>28/02/2027</t>
  </si>
  <si>
    <t>30/03/2027</t>
  </si>
  <si>
    <t>30/04/2027</t>
  </si>
  <si>
    <t>30/05/2027</t>
  </si>
  <si>
    <t>30/06/2027</t>
  </si>
  <si>
    <t>Bono ofrecido</t>
  </si>
  <si>
    <t>BONO OFRECIDO</t>
  </si>
  <si>
    <t>MARIA TERESA</t>
  </si>
  <si>
    <t>ZAPATA SILVA</t>
  </si>
  <si>
    <t>Mz C1 Lt 2 Sector 3 Villa de los Reyes, Ventanilla</t>
  </si>
  <si>
    <t>persebas8@gamil.com</t>
  </si>
  <si>
    <t>S/ 505.38</t>
  </si>
  <si>
    <t>S/ 12,634.62</t>
  </si>
  <si>
    <t>S/ 12,129.23</t>
  </si>
  <si>
    <t>S/ 11,623.85</t>
  </si>
  <si>
    <t>S/ 11,118.46</t>
  </si>
  <si>
    <t>S/ 10,613.08</t>
  </si>
  <si>
    <t>S/ 10,107.69</t>
  </si>
  <si>
    <t>S/ 9,602.31</t>
  </si>
  <si>
    <t>S/ 9,096.92</t>
  </si>
  <si>
    <t>S/ 8,591.54</t>
  </si>
  <si>
    <t>S/ 8,086.15</t>
  </si>
  <si>
    <t>S/ 7,580.77</t>
  </si>
  <si>
    <t>S/ 7,075.38</t>
  </si>
  <si>
    <t>S/ 6,570.00</t>
  </si>
  <si>
    <t>S/ 6,064.62</t>
  </si>
  <si>
    <t>S/ 5,559.23</t>
  </si>
  <si>
    <t>S/ 5,053.85</t>
  </si>
  <si>
    <t>S/ 4,548.46</t>
  </si>
  <si>
    <t>S/ 4,043.08</t>
  </si>
  <si>
    <t>S/ 3,537.69</t>
  </si>
  <si>
    <t>S/ 3,032.31</t>
  </si>
  <si>
    <t>S/ 2,526.92</t>
  </si>
  <si>
    <t>S/ 2,021.54</t>
  </si>
  <si>
    <t>S/ 1,516.15</t>
  </si>
  <si>
    <t>S/ 1,010.77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</si>
</sst>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S/&quot;\ #,##0.00;[Red]\-&quot;S/&quot;\ #,##0.00"/>
    <numFmt numFmtId="43" formatCode="_-* #,##0.00_-;\-* #,##0.00_-;_-* &quot;-&quot;??_-;_-@_-"/>
    <numFmt numFmtId="164" formatCode="&quot;S/.&quot;\ #,##0.00;&quot;S/.&quot;\ \-#,##0.00"/>
    <numFmt numFmtId="165" formatCode="&quot;S/.&quot;\ #,##0.00;[Red]&quot;S/.&quot;\ \-#,##0.00"/>
    <numFmt numFmtId="166" formatCode="_ &quot;S/.&quot;\ * #,##0.00_ ;_ &quot;S/.&quot;\ * \-#,##0.00_ ;_ &quot;S/.&quot;\ * &quot;-&quot;??_ ;_ @_ "/>
    <numFmt numFmtId="167" formatCode="_ &quot;$&quot;\ * #,##0_ ;_ &quot;$&quot;\ * \-#,##0_ ;_ &quot;$&quot;\ * &quot;-&quot;??_ ;_ @_ "/>
    <numFmt numFmtId="168" formatCode="&quot;S/.&quot;\ 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entury Gothic"/>
      <family val="2"/>
    </font>
    <font>
      <sz val="10"/>
      <name val="Century Gothic"/>
      <family val="2"/>
    </font>
    <font>
      <u/>
      <sz val="11"/>
      <color theme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4" fillId="2" borderId="0" xfId="0" applyFont="1" applyFill="1" applyAlignment="1">
      <alignment horizontal="right"/>
    </xf>
    <xf numFmtId="0" fontId="4" fillId="2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" fillId="0" borderId="0" xfId="0" applyFont="1"/>
    <xf numFmtId="167" fontId="3" fillId="3" borderId="1" xfId="1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0" fillId="0" borderId="4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9" fillId="2" borderId="0" xfId="0" applyFont="1" applyFill="1" applyAlignment="1">
      <alignment horizontal="left"/>
    </xf>
    <xf numFmtId="43" fontId="0" fillId="0" borderId="0" xfId="4" applyFont="1"/>
    <xf numFmtId="43" fontId="0" fillId="0" borderId="10" xfId="4" applyFont="1" applyBorder="1"/>
    <xf numFmtId="43" fontId="2" fillId="0" borderId="0" xfId="4" applyFont="1"/>
    <xf numFmtId="0" fontId="0" fillId="2" borderId="0" xfId="0" applyFill="1"/>
    <xf numFmtId="164" fontId="0" fillId="2" borderId="0" xfId="0" applyNumberFormat="1" applyFill="1"/>
    <xf numFmtId="14" fontId="0" fillId="2" borderId="1" xfId="0" applyNumberFormat="1" applyFill="1" applyBorder="1" applyProtection="1">
      <protection locked="0"/>
    </xf>
    <xf numFmtId="168" fontId="0" fillId="2" borderId="1" xfId="0" applyNumberFormat="1" applyFill="1" applyBorder="1" applyProtection="1">
      <protection locked="0"/>
    </xf>
    <xf numFmtId="168" fontId="0" fillId="2" borderId="1" xfId="0" applyNumberFormat="1" applyFill="1" applyBorder="1"/>
    <xf numFmtId="0" fontId="0" fillId="2" borderId="0" xfId="0" applyFill="1" applyAlignment="1">
      <alignment horizontal="left" indent="1"/>
    </xf>
    <xf numFmtId="0" fontId="0" fillId="2" borderId="1" xfId="0" applyFill="1" applyBorder="1"/>
    <xf numFmtId="10" fontId="0" fillId="2" borderId="1" xfId="0" applyNumberFormat="1" applyFill="1" applyBorder="1"/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65" fontId="0" fillId="2" borderId="1" xfId="0" applyNumberFormat="1" applyFill="1" applyBorder="1"/>
    <xf numFmtId="0" fontId="9" fillId="2" borderId="1" xfId="0" applyFont="1" applyFill="1" applyBorder="1" applyProtection="1">
      <protection locked="0"/>
    </xf>
    <xf numFmtId="0" fontId="2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43" fontId="2" fillId="4" borderId="0" xfId="0" applyNumberFormat="1" applyFont="1" applyFill="1"/>
    <xf numFmtId="0" fontId="2" fillId="4" borderId="0" xfId="0" applyFont="1" applyFill="1"/>
    <xf numFmtId="43" fontId="0" fillId="0" borderId="0" xfId="4" applyFont="1" applyAlignment="1">
      <alignment horizontal="right"/>
    </xf>
    <xf numFmtId="0" fontId="0" fillId="2" borderId="7" xfId="0" applyFill="1" applyBorder="1" applyAlignment="1">
      <alignment horizontal="left" indent="1"/>
    </xf>
    <xf numFmtId="0" fontId="0" fillId="2" borderId="8" xfId="0" applyFill="1" applyBorder="1" applyAlignment="1">
      <alignment horizontal="left" indent="1"/>
    </xf>
    <xf numFmtId="8" fontId="0" fillId="0" borderId="0" xfId="0" applyNumberFormat="1" applyAlignment="1">
      <alignment horizontal="right"/>
    </xf>
    <xf numFmtId="0" fontId="0" fillId="2" borderId="0" xfId="0" applyFill="1" applyAlignment="1">
      <alignment horizontal="left" indent="1"/>
    </xf>
    <xf numFmtId="0" fontId="0" fillId="2" borderId="7" xfId="0" applyFill="1" applyBorder="1" applyAlignment="1">
      <alignment horizontal="left" indent="1"/>
    </xf>
    <xf numFmtId="0" fontId="0" fillId="2" borderId="8" xfId="0" applyFill="1" applyBorder="1" applyAlignment="1">
      <alignment horizontal="left" indent="1"/>
    </xf>
    <xf numFmtId="0" fontId="0" fillId="2" borderId="1" xfId="0" applyFill="1" applyBorder="1" applyAlignment="1" applyProtection="1">
      <alignment horizontal="left"/>
      <protection locked="0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2" borderId="2" xfId="2" applyFill="1" applyBorder="1" applyAlignment="1" applyProtection="1">
      <alignment horizontal="left"/>
      <protection locked="0"/>
    </xf>
    <xf numFmtId="0" fontId="5" fillId="2" borderId="5" xfId="2" applyFill="1" applyBorder="1" applyAlignment="1" applyProtection="1">
      <alignment horizontal="left"/>
      <protection locked="0"/>
    </xf>
    <xf numFmtId="0" fontId="5" fillId="2" borderId="3" xfId="2" applyFill="1" applyBorder="1" applyAlignment="1" applyProtection="1">
      <alignment horizontal="left"/>
      <protection locked="0"/>
    </xf>
  </cellXfs>
  <cellStyles count="5">
    <cellStyle name="Hipervínculo" xfId="2" builtinId="8"/>
    <cellStyle name="Millares" xfId="4" builtinId="3"/>
    <cellStyle name="Moneda" xfId="1" builtinId="4"/>
    <cellStyle name="Normal" xfId="0" builtinId="0"/>
    <cellStyle name="Normal 7" xfId="3" xr:uid="{00000000-0005-0000-0000-000004000000}"/>
  </cellStyles>
  <dxfs count="0"/>
  <tableStyles count="0" defaultTableStyle="TableStyleMedium2" defaultPivotStyle="PivotStyleLight16"/>
  <colors>
    <mruColors>
      <color rgb="FFBA13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19</xdr:row>
      <xdr:rowOff>66674</xdr:rowOff>
    </xdr:from>
    <xdr:to>
      <xdr:col>6</xdr:col>
      <xdr:colOff>28575</xdr:colOff>
      <xdr:row>21</xdr:row>
      <xdr:rowOff>76199</xdr:rowOff>
    </xdr:to>
    <xdr:sp macro="[0]!GenerarCronogramavalor_cuotaFij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14401" y="3790949"/>
          <a:ext cx="5067299" cy="390525"/>
        </a:xfrm>
        <a:prstGeom prst="roundRect">
          <a:avLst/>
        </a:prstGeom>
        <a:solidFill>
          <a:schemeClr val="accent1"/>
        </a:solidFill>
        <a:ln>
          <a:noFill/>
        </a:ln>
        <a:scene3d>
          <a:camera prst="orthographicFront"/>
          <a:lightRig rig="balanced" dir="t"/>
        </a:scene3d>
        <a:sp3d prstMaterial="dkEdge">
          <a:bevelT w="38100" h="38100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400" b="1"/>
            <a:t>GENERAR CRONOGRAMA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ersebas8@gam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001"/>
  <sheetViews>
    <sheetView tabSelected="1" zoomScaleNormal="100" workbookViewId="0">
      <selection activeCell="I6" sqref="I6"/>
    </sheetView>
  </sheetViews>
  <sheetFormatPr baseColWidth="10" defaultColWidth="11.44140625" defaultRowHeight="14.4" x14ac:dyDescent="0.3"/>
  <cols>
    <col min="1" max="1" width="13.5546875" customWidth="1"/>
    <col min="2" max="4" width="14.88671875" customWidth="1"/>
    <col min="5" max="7" width="15.5546875" customWidth="1"/>
    <col min="10" max="10" width="17.5546875" customWidth="1"/>
    <col min="12" max="12" width="12.6640625" customWidth="1"/>
    <col min="13" max="13" width="15" bestFit="1" customWidth="1"/>
  </cols>
  <sheetData>
    <row r="1" spans="1:12" ht="39.75" customHeight="1" x14ac:dyDescent="0.3">
      <c r="A1" s="45" t="s">
        <v>35</v>
      </c>
      <c r="B1" s="46"/>
      <c r="C1" s="46"/>
      <c r="D1" s="46"/>
      <c r="E1" s="46"/>
      <c r="F1" s="46"/>
      <c r="G1" s="47"/>
    </row>
    <row r="2" spans="1:12" ht="23.7" customHeight="1" x14ac:dyDescent="0.3">
      <c r="A2" s="48" t="s">
        <v>36</v>
      </c>
      <c r="B2" s="48"/>
      <c r="C2" s="48"/>
      <c r="D2" s="48"/>
      <c r="E2" s="48"/>
      <c r="F2" s="48"/>
      <c r="G2" s="48"/>
      <c r="I2" s="33" t="s">
        <v>45</v>
      </c>
      <c r="J2" s="34"/>
      <c r="K2" s="34"/>
      <c r="L2" s="34"/>
    </row>
    <row r="3" spans="1:12" x14ac:dyDescent="0.3">
      <c r="B3" s="19"/>
      <c r="C3" s="19"/>
      <c r="D3" s="20"/>
      <c r="E3" s="41" t="s">
        <v>7</v>
      </c>
      <c r="F3" s="41"/>
      <c r="G3" s="21">
        <v>45777</v>
      </c>
      <c r="I3" s="18">
        <v>72540</v>
      </c>
      <c r="J3" t="s">
        <v>38</v>
      </c>
    </row>
    <row r="4" spans="1:12" x14ac:dyDescent="0.3">
      <c r="A4" s="6" t="s">
        <v>0</v>
      </c>
      <c r="B4" s="19"/>
      <c r="C4" s="19"/>
      <c r="D4" s="19"/>
      <c r="E4" s="19"/>
      <c r="F4" s="19"/>
      <c r="G4" s="19"/>
      <c r="I4" s="16"/>
    </row>
    <row r="5" spans="1:12" x14ac:dyDescent="0.3">
      <c r="A5" s="14" t="s">
        <v>1</v>
      </c>
      <c r="B5" s="44" t="s">
        <v>75</v>
      </c>
      <c r="C5" s="44"/>
      <c r="D5" s="44"/>
      <c r="E5" s="42" t="s">
        <v>40</v>
      </c>
      <c r="F5" s="43"/>
      <c r="G5" s="22">
        <f>+I3</f>
        <v>72540</v>
      </c>
      <c r="I5" s="16">
        <v>34400</v>
      </c>
      <c r="J5" t="s">
        <v>73</v>
      </c>
    </row>
    <row r="6" spans="1:12" x14ac:dyDescent="0.3">
      <c r="A6" s="14" t="s">
        <v>2</v>
      </c>
      <c r="B6" s="44" t="s">
        <v>76</v>
      </c>
      <c r="C6" s="44"/>
      <c r="D6" s="44"/>
      <c r="E6" s="42" t="s">
        <v>5</v>
      </c>
      <c r="F6" s="43"/>
      <c r="G6" s="22">
        <v>25000</v>
      </c>
      <c r="I6" s="17">
        <f>+I3*0.05</f>
        <v>3627</v>
      </c>
      <c r="J6" t="s">
        <v>46</v>
      </c>
    </row>
    <row r="7" spans="1:12" x14ac:dyDescent="0.3">
      <c r="A7" s="14" t="s">
        <v>3</v>
      </c>
      <c r="B7" s="44">
        <v>25817254</v>
      </c>
      <c r="C7" s="44"/>
      <c r="D7" s="44"/>
      <c r="E7" s="38" t="s">
        <v>74</v>
      </c>
      <c r="F7" s="39"/>
      <c r="G7" s="22">
        <f>+I5</f>
        <v>34400</v>
      </c>
      <c r="I7" s="18">
        <f>SUM(I5:I6)</f>
        <v>38027</v>
      </c>
    </row>
    <row r="8" spans="1:12" x14ac:dyDescent="0.3">
      <c r="E8" s="42" t="s">
        <v>6</v>
      </c>
      <c r="F8" s="43"/>
      <c r="G8" s="23">
        <f>+G5-G6-G7</f>
        <v>13140</v>
      </c>
    </row>
    <row r="9" spans="1:12" x14ac:dyDescent="0.3">
      <c r="B9" s="19"/>
      <c r="C9" s="19"/>
      <c r="D9" s="19"/>
      <c r="E9" s="41" t="s">
        <v>9</v>
      </c>
      <c r="F9" s="43"/>
      <c r="G9" s="32">
        <v>26</v>
      </c>
      <c r="I9" s="35">
        <f>+I3-I7</f>
        <v>34513</v>
      </c>
      <c r="J9" s="36" t="s">
        <v>39</v>
      </c>
    </row>
    <row r="10" spans="1:12" x14ac:dyDescent="0.3">
      <c r="A10" s="6" t="s">
        <v>4</v>
      </c>
      <c r="B10" s="19"/>
      <c r="C10" s="19"/>
      <c r="D10" s="19"/>
      <c r="E10" s="24" t="s">
        <v>19</v>
      </c>
      <c r="F10" s="24"/>
      <c r="G10" s="25">
        <v>30</v>
      </c>
    </row>
    <row r="11" spans="1:12" x14ac:dyDescent="0.3">
      <c r="A11" s="14" t="s">
        <v>1</v>
      </c>
      <c r="B11" s="44"/>
      <c r="C11" s="44"/>
      <c r="D11" s="44"/>
      <c r="E11" s="24" t="s">
        <v>13</v>
      </c>
      <c r="F11" s="24"/>
      <c r="G11" s="26">
        <v>0</v>
      </c>
    </row>
    <row r="12" spans="1:12" x14ac:dyDescent="0.3">
      <c r="A12" s="14" t="s">
        <v>2</v>
      </c>
      <c r="B12" s="44"/>
      <c r="C12" s="44"/>
      <c r="D12" s="44"/>
      <c r="E12" s="41" t="s">
        <v>8</v>
      </c>
      <c r="F12" s="43"/>
      <c r="G12" s="26">
        <f>+((1+G11)^(1/12))-1</f>
        <v>0</v>
      </c>
      <c r="I12" s="18"/>
      <c r="J12" s="6"/>
    </row>
    <row r="13" spans="1:12" x14ac:dyDescent="0.3">
      <c r="A13" s="14" t="s">
        <v>3</v>
      </c>
      <c r="B13" s="44"/>
      <c r="C13" s="44"/>
      <c r="D13" s="44"/>
      <c r="E13" s="19"/>
      <c r="F13" s="19"/>
      <c r="G13" s="19"/>
    </row>
    <row r="14" spans="1:12" x14ac:dyDescent="0.3">
      <c r="B14" s="19"/>
      <c r="C14" s="19"/>
      <c r="D14" s="19"/>
      <c r="E14" s="41"/>
      <c r="F14" s="41"/>
      <c r="G14" s="27"/>
    </row>
    <row r="15" spans="1:12" x14ac:dyDescent="0.3">
      <c r="A15" t="s">
        <v>28</v>
      </c>
      <c r="B15" s="44" t="s">
        <v>77</v>
      </c>
      <c r="C15" s="44"/>
      <c r="D15" s="44"/>
      <c r="E15" s="42" t="s">
        <v>10</v>
      </c>
      <c r="F15" s="41"/>
      <c r="G15" s="28">
        <v>56</v>
      </c>
    </row>
    <row r="16" spans="1:12" x14ac:dyDescent="0.3">
      <c r="A16" t="s">
        <v>29</v>
      </c>
      <c r="B16" s="44">
        <v>992878665</v>
      </c>
      <c r="C16" s="44"/>
      <c r="D16" s="44"/>
      <c r="E16" s="42" t="s">
        <v>11</v>
      </c>
      <c r="F16" s="43"/>
      <c r="G16" s="29">
        <v>20</v>
      </c>
    </row>
    <row r="17" spans="1:9" x14ac:dyDescent="0.3">
      <c r="A17" t="s">
        <v>30</v>
      </c>
      <c r="B17" s="49" t="s">
        <v>78</v>
      </c>
      <c r="C17" s="50"/>
      <c r="D17" s="51"/>
      <c r="E17" s="42" t="s">
        <v>31</v>
      </c>
      <c r="F17" s="43"/>
      <c r="G17" s="30">
        <v>90</v>
      </c>
    </row>
    <row r="18" spans="1:9" x14ac:dyDescent="0.3">
      <c r="B18" s="19"/>
      <c r="C18" s="19"/>
      <c r="D18" s="19"/>
      <c r="E18" s="41" t="s">
        <v>20</v>
      </c>
      <c r="F18" s="41"/>
      <c r="G18" s="31">
        <v>505.4</v>
      </c>
    </row>
    <row r="19" spans="1:9" x14ac:dyDescent="0.3">
      <c r="B19" s="19"/>
      <c r="C19" s="19"/>
      <c r="D19" s="19"/>
    </row>
    <row r="20" spans="1:9" x14ac:dyDescent="0.3">
      <c r="C20" s="5"/>
      <c r="D20" s="5"/>
      <c r="E20" s="5"/>
    </row>
    <row r="21" spans="1:9" x14ac:dyDescent="0.3">
      <c r="C21" s="5"/>
      <c r="D21" s="5"/>
      <c r="E21" s="5"/>
    </row>
    <row r="23" spans="1:9" ht="27.6" customHeight="1" x14ac:dyDescent="0.3">
      <c r="A23" s="8" t="s">
        <v>12</v>
      </c>
      <c r="B23" s="1"/>
      <c r="C23" s="1"/>
      <c r="D23" s="1"/>
      <c r="E23" s="2"/>
      <c r="F23" s="1"/>
      <c r="G23" s="1"/>
    </row>
    <row r="24" spans="1:9" x14ac:dyDescent="0.3">
      <c r="A24" s="15" t="s">
        <v>34</v>
      </c>
      <c r="B24" s="1"/>
      <c r="C24" s="1"/>
      <c r="D24" s="1"/>
      <c r="E24" s="2"/>
      <c r="F24" s="1"/>
      <c r="G24" s="1"/>
    </row>
    <row r="25" spans="1:9" x14ac:dyDescent="0.3">
      <c r="A25" s="15" t="s">
        <v>32</v>
      </c>
      <c r="B25" s="1"/>
      <c r="C25" s="1"/>
      <c r="D25" s="1"/>
      <c r="E25" s="2"/>
      <c r="F25" s="1"/>
      <c r="G25" s="1"/>
    </row>
    <row r="26" spans="1:9" x14ac:dyDescent="0.3">
      <c r="A26" s="15" t="s">
        <v>41</v>
      </c>
      <c r="G26" s="1"/>
    </row>
    <row r="27" spans="1:9" x14ac:dyDescent="0.3">
      <c r="A27" s="15" t="s">
        <v>42</v>
      </c>
      <c r="B27" s="1"/>
      <c r="C27" s="1"/>
      <c r="D27" s="1"/>
      <c r="E27" s="2"/>
      <c r="F27" s="1"/>
      <c r="G27" s="1"/>
    </row>
    <row r="28" spans="1:9" x14ac:dyDescent="0.3">
      <c r="A28" t="s">
        <v>43</v>
      </c>
      <c r="B28" s="1"/>
      <c r="C28" s="1"/>
      <c r="D28" s="1"/>
      <c r="E28" s="2"/>
      <c r="F28" s="1"/>
      <c r="G28" s="1"/>
    </row>
    <row r="29" spans="1:9" x14ac:dyDescent="0.3">
      <c r="A29" s="15" t="s">
        <v>37</v>
      </c>
      <c r="B29" s="1"/>
      <c r="C29" s="1"/>
      <c r="D29" s="1"/>
      <c r="E29" s="2"/>
      <c r="F29" s="1"/>
      <c r="G29" s="1"/>
    </row>
    <row r="30" spans="1:9" x14ac:dyDescent="0.3">
      <c r="A30" s="15" t="s">
        <v>33</v>
      </c>
    </row>
    <row r="32" spans="1:9" x14ac:dyDescent="0.3">
      <c r="A32" s="4" t="s">
        <v>17</v>
      </c>
      <c r="B32" s="3" t="s">
        <v>15</v>
      </c>
      <c r="C32" s="3" t="s">
        <v>26</v>
      </c>
      <c r="D32" s="7" t="s">
        <v>27</v>
      </c>
      <c r="E32" s="3" t="s">
        <v>18</v>
      </c>
      <c r="F32" s="3" t="s">
        <v>16</v>
      </c>
      <c r="G32" s="7" t="s">
        <v>14</v>
      </c>
      <c r="I32" s="37"/>
    </row>
    <row r="33" spans="1:11" x14ac:dyDescent="0.3">
      <c r="A33" s="10">
        <v>0</v>
      </c>
      <c r="B33" s="9">
        <v>45777</v>
      </c>
      <c r="C33" s="10"/>
      <c r="D33" s="10">
        <v>13140</v>
      </c>
      <c r="E33" s="10"/>
      <c r="F33" s="10"/>
      <c r="G33" s="10"/>
      <c r="H33" s="10"/>
      <c r="I33" s="10"/>
      <c r="J33" s="10"/>
      <c r="K33" s="10"/>
    </row>
    <row r="34" spans="1:11" x14ac:dyDescent="0.3">
      <c r="A34" s="10">
        <v>1</v>
      </c>
      <c r="B34" s="10" t="s">
        <v>47</v>
      </c>
      <c r="C34" s="10">
        <v>31</v>
      </c>
      <c r="D34" s="10" t="s">
        <v>80</v>
      </c>
      <c r="E34" s="10" t="s">
        <v>79</v>
      </c>
      <c r="F34" s="10" t="s">
        <v>44</v>
      </c>
      <c r="G34" s="40">
        <v>505.4</v>
      </c>
      <c r="H34" s="10"/>
      <c r="I34" s="10"/>
      <c r="J34" s="10"/>
      <c r="K34" s="10"/>
    </row>
    <row r="35" spans="1:11" x14ac:dyDescent="0.3">
      <c r="A35" s="10">
        <v>2</v>
      </c>
      <c r="B35" s="10" t="s">
        <v>48</v>
      </c>
      <c r="C35" s="10">
        <v>30</v>
      </c>
      <c r="D35" s="10" t="s">
        <v>81</v>
      </c>
      <c r="E35" s="10" t="s">
        <v>79</v>
      </c>
      <c r="F35" s="10" t="s">
        <v>44</v>
      </c>
      <c r="G35" s="40">
        <v>505.4</v>
      </c>
      <c r="H35" s="10"/>
      <c r="I35" s="10"/>
      <c r="J35" s="10"/>
      <c r="K35" s="10"/>
    </row>
    <row r="36" spans="1:11" x14ac:dyDescent="0.3">
      <c r="A36" s="10">
        <v>3</v>
      </c>
      <c r="B36" s="10" t="s">
        <v>49</v>
      </c>
      <c r="C36" s="10">
        <v>31</v>
      </c>
      <c r="D36" s="10" t="s">
        <v>82</v>
      </c>
      <c r="E36" s="10" t="s">
        <v>79</v>
      </c>
      <c r="F36" s="10" t="s">
        <v>44</v>
      </c>
      <c r="G36" s="40">
        <v>505.4</v>
      </c>
      <c r="H36" s="10"/>
      <c r="I36" s="10"/>
      <c r="J36" s="10"/>
      <c r="K36" s="10"/>
    </row>
    <row r="37" spans="1:11" x14ac:dyDescent="0.3">
      <c r="A37" s="10">
        <v>4</v>
      </c>
      <c r="B37" s="10" t="s">
        <v>50</v>
      </c>
      <c r="C37" s="10">
        <v>31</v>
      </c>
      <c r="D37" s="10" t="s">
        <v>83</v>
      </c>
      <c r="E37" s="10" t="s">
        <v>79</v>
      </c>
      <c r="F37" s="10" t="s">
        <v>44</v>
      </c>
      <c r="G37" s="40">
        <v>505.4</v>
      </c>
      <c r="H37" s="10"/>
      <c r="I37" s="10"/>
      <c r="J37" s="10"/>
      <c r="K37" s="10"/>
    </row>
    <row r="38" spans="1:11" x14ac:dyDescent="0.3">
      <c r="A38" s="10">
        <v>5</v>
      </c>
      <c r="B38" s="10" t="s">
        <v>51</v>
      </c>
      <c r="C38" s="10">
        <v>30</v>
      </c>
      <c r="D38" s="10" t="s">
        <v>84</v>
      </c>
      <c r="E38" s="10" t="s">
        <v>79</v>
      </c>
      <c r="F38" s="10" t="s">
        <v>44</v>
      </c>
      <c r="G38" s="40">
        <v>505.4</v>
      </c>
      <c r="H38" s="10"/>
      <c r="I38" s="10"/>
      <c r="J38" s="10"/>
      <c r="K38" s="10"/>
    </row>
    <row r="39" spans="1:11" x14ac:dyDescent="0.3">
      <c r="A39" s="10">
        <v>6</v>
      </c>
      <c r="B39" s="10" t="s">
        <v>52</v>
      </c>
      <c r="C39" s="10">
        <v>31</v>
      </c>
      <c r="D39" s="10" t="s">
        <v>85</v>
      </c>
      <c r="E39" s="10" t="s">
        <v>79</v>
      </c>
      <c r="F39" s="10" t="s">
        <v>44</v>
      </c>
      <c r="G39" s="40">
        <v>505.4</v>
      </c>
      <c r="H39" s="10"/>
      <c r="I39" s="10"/>
      <c r="J39" s="10"/>
      <c r="K39" s="10"/>
    </row>
    <row r="40" spans="1:11" x14ac:dyDescent="0.3">
      <c r="A40" s="10">
        <v>7</v>
      </c>
      <c r="B40" s="10" t="s">
        <v>53</v>
      </c>
      <c r="C40" s="10">
        <v>30</v>
      </c>
      <c r="D40" s="10" t="s">
        <v>86</v>
      </c>
      <c r="E40" s="10" t="s">
        <v>79</v>
      </c>
      <c r="F40" s="10" t="s">
        <v>44</v>
      </c>
      <c r="G40" s="40">
        <v>505.4</v>
      </c>
      <c r="H40" s="10"/>
      <c r="I40" s="10"/>
      <c r="J40" s="10"/>
      <c r="K40" s="10"/>
    </row>
    <row r="41" spans="1:11" x14ac:dyDescent="0.3">
      <c r="A41" s="10">
        <v>8</v>
      </c>
      <c r="B41" s="10" t="s">
        <v>54</v>
      </c>
      <c r="C41" s="10">
        <v>31</v>
      </c>
      <c r="D41" s="10" t="s">
        <v>87</v>
      </c>
      <c r="E41" s="10" t="s">
        <v>79</v>
      </c>
      <c r="F41" s="10" t="s">
        <v>44</v>
      </c>
      <c r="G41" s="40">
        <v>505.4</v>
      </c>
      <c r="H41" s="10"/>
      <c r="I41" s="10"/>
      <c r="J41" s="10"/>
      <c r="K41" s="10"/>
    </row>
    <row r="42" spans="1:11" x14ac:dyDescent="0.3">
      <c r="A42" s="10">
        <v>9</v>
      </c>
      <c r="B42" s="10" t="s">
        <v>55</v>
      </c>
      <c r="C42" s="10">
        <v>31</v>
      </c>
      <c r="D42" s="10" t="s">
        <v>88</v>
      </c>
      <c r="E42" s="10" t="s">
        <v>79</v>
      </c>
      <c r="F42" s="10" t="s">
        <v>44</v>
      </c>
      <c r="G42" s="40">
        <v>505.4</v>
      </c>
      <c r="H42" s="10"/>
      <c r="I42" s="10"/>
      <c r="J42" s="10"/>
      <c r="K42" s="10"/>
    </row>
    <row r="43" spans="1:11" x14ac:dyDescent="0.3">
      <c r="A43" s="10">
        <v>10</v>
      </c>
      <c r="B43" s="10" t="s">
        <v>56</v>
      </c>
      <c r="C43" s="10">
        <v>28</v>
      </c>
      <c r="D43" s="10" t="s">
        <v>89</v>
      </c>
      <c r="E43" s="10" t="s">
        <v>79</v>
      </c>
      <c r="F43" s="10" t="s">
        <v>44</v>
      </c>
      <c r="G43" s="40">
        <v>505.4</v>
      </c>
      <c r="H43" s="10"/>
      <c r="I43" s="10"/>
      <c r="J43" s="10"/>
      <c r="K43" s="10"/>
    </row>
    <row r="44" spans="1:11" x14ac:dyDescent="0.3">
      <c r="A44" s="10">
        <v>11</v>
      </c>
      <c r="B44" s="10" t="s">
        <v>57</v>
      </c>
      <c r="C44" s="10">
        <v>31</v>
      </c>
      <c r="D44" s="10" t="s">
        <v>90</v>
      </c>
      <c r="E44" s="10" t="s">
        <v>79</v>
      </c>
      <c r="F44" s="10" t="s">
        <v>44</v>
      </c>
      <c r="G44" s="40">
        <v>505.4</v>
      </c>
      <c r="H44" s="10"/>
      <c r="I44" s="10"/>
      <c r="J44" s="10"/>
      <c r="K44" s="10"/>
    </row>
    <row r="45" spans="1:11" x14ac:dyDescent="0.3">
      <c r="A45" s="10">
        <v>12</v>
      </c>
      <c r="B45" s="10" t="s">
        <v>58</v>
      </c>
      <c r="C45" s="10">
        <v>30</v>
      </c>
      <c r="D45" s="10" t="s">
        <v>91</v>
      </c>
      <c r="E45" s="10" t="s">
        <v>79</v>
      </c>
      <c r="F45" s="10" t="s">
        <v>44</v>
      </c>
      <c r="G45" s="40">
        <v>505.4</v>
      </c>
      <c r="H45" s="10"/>
      <c r="I45" s="10"/>
      <c r="J45" s="10"/>
      <c r="K45" s="10"/>
    </row>
    <row r="46" spans="1:11" x14ac:dyDescent="0.3">
      <c r="A46" s="10">
        <v>13</v>
      </c>
      <c r="B46" s="10" t="s">
        <v>59</v>
      </c>
      <c r="C46" s="10">
        <v>31</v>
      </c>
      <c r="D46" s="10" t="s">
        <v>92</v>
      </c>
      <c r="E46" s="10" t="s">
        <v>79</v>
      </c>
      <c r="F46" s="10" t="s">
        <v>44</v>
      </c>
      <c r="G46" s="40">
        <v>505.4</v>
      </c>
      <c r="H46" s="10"/>
      <c r="I46" s="10"/>
      <c r="J46" s="10"/>
      <c r="K46" s="10"/>
    </row>
    <row r="47" spans="1:11" x14ac:dyDescent="0.3">
      <c r="A47" s="10">
        <v>14</v>
      </c>
      <c r="B47" s="10" t="s">
        <v>60</v>
      </c>
      <c r="C47" s="10">
        <v>30</v>
      </c>
      <c r="D47" s="10" t="s">
        <v>93</v>
      </c>
      <c r="E47" s="10" t="s">
        <v>79</v>
      </c>
      <c r="F47" s="10" t="s">
        <v>44</v>
      </c>
      <c r="G47" s="40">
        <v>505.4</v>
      </c>
      <c r="H47" s="10"/>
      <c r="I47" s="10"/>
      <c r="J47" s="10"/>
      <c r="K47" s="10"/>
    </row>
    <row r="48" spans="1:11" x14ac:dyDescent="0.3">
      <c r="A48" s="10">
        <v>15</v>
      </c>
      <c r="B48" s="10" t="s">
        <v>61</v>
      </c>
      <c r="C48" s="10">
        <v>31</v>
      </c>
      <c r="D48" s="10" t="s">
        <v>94</v>
      </c>
      <c r="E48" s="10" t="s">
        <v>79</v>
      </c>
      <c r="F48" s="10" t="s">
        <v>44</v>
      </c>
      <c r="G48" s="40">
        <v>505.4</v>
      </c>
      <c r="H48" s="10"/>
      <c r="I48" s="10"/>
      <c r="J48" s="10"/>
      <c r="K48" s="10"/>
    </row>
    <row r="49" spans="1:11" x14ac:dyDescent="0.3">
      <c r="A49" s="10">
        <v>16</v>
      </c>
      <c r="B49" s="10" t="s">
        <v>62</v>
      </c>
      <c r="C49" s="10">
        <v>31</v>
      </c>
      <c r="D49" s="10" t="s">
        <v>95</v>
      </c>
      <c r="E49" s="10" t="s">
        <v>79</v>
      </c>
      <c r="F49" s="10" t="s">
        <v>44</v>
      </c>
      <c r="G49" s="40">
        <v>505.4</v>
      </c>
      <c r="H49" s="10"/>
      <c r="I49" s="10"/>
      <c r="J49" s="10"/>
      <c r="K49" s="10"/>
    </row>
    <row r="50" spans="1:11" x14ac:dyDescent="0.3">
      <c r="A50" s="10">
        <v>17</v>
      </c>
      <c r="B50" s="10" t="s">
        <v>63</v>
      </c>
      <c r="C50" s="10">
        <v>30</v>
      </c>
      <c r="D50" s="10" t="s">
        <v>96</v>
      </c>
      <c r="E50" s="10" t="s">
        <v>79</v>
      </c>
      <c r="F50" s="10" t="s">
        <v>44</v>
      </c>
      <c r="G50" s="40">
        <v>505.4</v>
      </c>
      <c r="H50" s="10"/>
      <c r="I50" s="10"/>
      <c r="J50" s="10"/>
      <c r="K50" s="10"/>
    </row>
    <row r="51" spans="1:11" x14ac:dyDescent="0.3">
      <c r="A51" s="10">
        <v>18</v>
      </c>
      <c r="B51" s="10" t="s">
        <v>64</v>
      </c>
      <c r="C51" s="10">
        <v>31</v>
      </c>
      <c r="D51" s="10" t="s">
        <v>97</v>
      </c>
      <c r="E51" s="10" t="s">
        <v>79</v>
      </c>
      <c r="F51" s="10" t="s">
        <v>44</v>
      </c>
      <c r="G51" s="40">
        <v>505.4</v>
      </c>
      <c r="H51" s="10"/>
      <c r="I51" s="10"/>
      <c r="J51" s="10"/>
      <c r="K51" s="10"/>
    </row>
    <row r="52" spans="1:11" x14ac:dyDescent="0.3">
      <c r="A52" s="10">
        <v>19</v>
      </c>
      <c r="B52" s="10" t="s">
        <v>65</v>
      </c>
      <c r="C52" s="10">
        <v>30</v>
      </c>
      <c r="D52" s="10" t="s">
        <v>98</v>
      </c>
      <c r="E52" s="10" t="s">
        <v>79</v>
      </c>
      <c r="F52" s="10" t="s">
        <v>44</v>
      </c>
      <c r="G52" s="40">
        <v>505.4</v>
      </c>
      <c r="H52" s="10"/>
      <c r="I52" s="10"/>
      <c r="J52" s="10"/>
      <c r="K52" s="10"/>
    </row>
    <row r="53" spans="1:11" x14ac:dyDescent="0.3">
      <c r="A53" s="10">
        <v>20</v>
      </c>
      <c r="B53" s="10" t="s">
        <v>66</v>
      </c>
      <c r="C53" s="10">
        <v>31</v>
      </c>
      <c r="D53" s="10" t="s">
        <v>99</v>
      </c>
      <c r="E53" s="10" t="s">
        <v>79</v>
      </c>
      <c r="F53" s="10" t="s">
        <v>44</v>
      </c>
      <c r="G53" s="40">
        <v>505.4</v>
      </c>
      <c r="H53" s="10"/>
      <c r="I53" s="10"/>
      <c r="J53" s="10"/>
      <c r="K53" s="10"/>
    </row>
    <row r="54" spans="1:11" x14ac:dyDescent="0.3">
      <c r="A54" s="10">
        <v>21</v>
      </c>
      <c r="B54" s="10" t="s">
        <v>67</v>
      </c>
      <c r="C54" s="10">
        <v>31</v>
      </c>
      <c r="D54" s="10" t="s">
        <v>100</v>
      </c>
      <c r="E54" s="10" t="s">
        <v>79</v>
      </c>
      <c r="F54" s="10" t="s">
        <v>44</v>
      </c>
      <c r="G54" s="40">
        <v>505.4</v>
      </c>
      <c r="H54" s="10"/>
      <c r="I54" s="10"/>
      <c r="J54" s="10"/>
      <c r="K54" s="10"/>
    </row>
    <row r="55" spans="1:11" x14ac:dyDescent="0.3">
      <c r="A55" s="10">
        <v>22</v>
      </c>
      <c r="B55" s="10" t="s">
        <v>68</v>
      </c>
      <c r="C55" s="10">
        <v>28</v>
      </c>
      <c r="D55" s="10" t="s">
        <v>101</v>
      </c>
      <c r="E55" s="10" t="s">
        <v>79</v>
      </c>
      <c r="F55" s="10" t="s">
        <v>44</v>
      </c>
      <c r="G55" s="40">
        <v>505.4</v>
      </c>
      <c r="H55" s="10"/>
      <c r="I55" s="10"/>
      <c r="J55" s="10"/>
      <c r="K55" s="10"/>
    </row>
    <row r="56" spans="1:11" x14ac:dyDescent="0.3">
      <c r="A56" s="10">
        <v>23</v>
      </c>
      <c r="B56" s="10" t="s">
        <v>69</v>
      </c>
      <c r="C56" s="10">
        <v>31</v>
      </c>
      <c r="D56" s="10" t="s">
        <v>102</v>
      </c>
      <c r="E56" s="10" t="s">
        <v>79</v>
      </c>
      <c r="F56" s="10" t="s">
        <v>44</v>
      </c>
      <c r="G56" s="40">
        <v>505.4</v>
      </c>
      <c r="H56" s="10"/>
      <c r="I56" s="10"/>
      <c r="J56" s="10"/>
      <c r="K56" s="10"/>
    </row>
    <row r="57" spans="1:11" x14ac:dyDescent="0.3">
      <c r="A57" s="10">
        <v>24</v>
      </c>
      <c r="B57" s="10" t="s">
        <v>70</v>
      </c>
      <c r="C57" s="10">
        <v>30</v>
      </c>
      <c r="D57" s="10" t="s">
        <v>103</v>
      </c>
      <c r="E57" s="10" t="s">
        <v>79</v>
      </c>
      <c r="F57" s="10" t="s">
        <v>44</v>
      </c>
      <c r="G57" s="40">
        <v>505.4</v>
      </c>
      <c r="H57" s="10"/>
      <c r="I57" s="10"/>
      <c r="J57" s="10"/>
      <c r="K57" s="10"/>
    </row>
    <row r="58" spans="1:11" x14ac:dyDescent="0.3">
      <c r="A58" s="10">
        <v>25</v>
      </c>
      <c r="B58" s="10" t="s">
        <v>71</v>
      </c>
      <c r="C58" s="10">
        <v>31</v>
      </c>
      <c r="D58" s="10" t="s">
        <v>79</v>
      </c>
      <c r="E58" s="10" t="s">
        <v>79</v>
      </c>
      <c r="F58" s="10" t="s">
        <v>44</v>
      </c>
      <c r="G58" s="40">
        <v>505.4</v>
      </c>
      <c r="H58" s="10"/>
      <c r="I58" s="10"/>
      <c r="J58" s="10"/>
      <c r="K58" s="10"/>
    </row>
    <row r="59" spans="1:11" x14ac:dyDescent="0.3">
      <c r="A59" s="10">
        <v>26</v>
      </c>
      <c r="B59" s="10" t="s">
        <v>72</v>
      </c>
      <c r="C59" s="10">
        <v>30</v>
      </c>
      <c r="D59" s="10" t="s">
        <v>44</v>
      </c>
      <c r="E59" s="10" t="s">
        <v>79</v>
      </c>
      <c r="F59" s="10" t="s">
        <v>44</v>
      </c>
      <c r="G59" s="40">
        <v>505.4</v>
      </c>
      <c r="H59" s="10"/>
      <c r="I59" s="10"/>
      <c r="J59" s="10"/>
      <c r="K59" s="10"/>
    </row>
    <row r="60" spans="1:11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</row>
    <row r="61" spans="1:11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</row>
    <row r="62" spans="1:11" ht="28.8" x14ac:dyDescent="0.3">
      <c r="A62" s="10"/>
      <c r="B62" s="11" t="s">
        <v>21</v>
      </c>
      <c r="C62" s="12"/>
      <c r="D62" s="12"/>
      <c r="E62" s="11" t="s">
        <v>22</v>
      </c>
      <c r="F62" s="12"/>
      <c r="G62" s="12"/>
      <c r="H62" s="10"/>
      <c r="I62" s="10"/>
      <c r="J62" s="10"/>
      <c r="K62" s="10"/>
    </row>
    <row r="63" spans="1:11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</row>
    <row r="64" spans="1:11" x14ac:dyDescent="0.3">
      <c r="A64" s="10"/>
      <c r="B64" s="10" t="s">
        <v>23</v>
      </c>
      <c r="C64" s="13" t="s">
        <v>75</v>
      </c>
      <c r="D64" s="10"/>
      <c r="E64" s="10" t="s">
        <v>23</v>
      </c>
      <c r="F64" s="13"/>
      <c r="G64" s="10"/>
      <c r="H64" s="10"/>
      <c r="I64" s="10"/>
      <c r="J64" s="10"/>
      <c r="K64" s="10"/>
    </row>
    <row r="65" spans="1:11" x14ac:dyDescent="0.3">
      <c r="A65" s="10"/>
      <c r="B65" s="10" t="s">
        <v>24</v>
      </c>
      <c r="C65" s="13" t="s">
        <v>76</v>
      </c>
      <c r="D65" s="10"/>
      <c r="E65" s="10" t="s">
        <v>24</v>
      </c>
      <c r="F65" s="13"/>
      <c r="G65" s="10"/>
      <c r="H65" s="10"/>
      <c r="I65" s="10"/>
      <c r="J65" s="10"/>
      <c r="K65" s="10"/>
    </row>
    <row r="66" spans="1:11" x14ac:dyDescent="0.3">
      <c r="A66" s="10"/>
      <c r="B66" s="10" t="s">
        <v>25</v>
      </c>
      <c r="C66" s="13">
        <v>25817254</v>
      </c>
      <c r="D66" s="10"/>
      <c r="E66" s="10" t="s">
        <v>25</v>
      </c>
      <c r="F66" s="13"/>
      <c r="G66" s="10"/>
      <c r="H66" s="10"/>
      <c r="I66" s="10"/>
      <c r="J66" s="10"/>
      <c r="K66" s="10"/>
    </row>
    <row r="67" spans="1:11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</row>
    <row r="68" spans="1:1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</row>
    <row r="69" spans="1:11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</row>
    <row r="70" spans="1:1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</row>
    <row r="71" spans="1:11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</row>
    <row r="72" spans="1:11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</row>
    <row r="73" spans="1:11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</row>
    <row r="74" spans="1:11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</row>
    <row r="75" spans="1:11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76" spans="1:11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</row>
    <row r="77" spans="1:11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</row>
    <row r="78" spans="1:11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</row>
    <row r="79" spans="1:11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</row>
    <row r="80" spans="1:11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</row>
    <row r="81" spans="1:11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</row>
    <row r="82" spans="1:11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</row>
    <row r="83" spans="1:11" x14ac:dyDescent="0.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</row>
    <row r="84" spans="1:11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</row>
    <row r="85" spans="1:11" x14ac:dyDescent="0.3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</row>
    <row r="86" spans="1:11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</row>
    <row r="87" spans="1:11" x14ac:dyDescent="0.3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</row>
    <row r="88" spans="1:11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</row>
    <row r="89" spans="1:11" x14ac:dyDescent="0.3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</row>
    <row r="90" spans="1:11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</row>
    <row r="91" spans="1:11" x14ac:dyDescent="0.3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</row>
    <row r="92" spans="1:11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</row>
    <row r="93" spans="1:11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</row>
    <row r="94" spans="1:11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</row>
    <row r="95" spans="1:11" x14ac:dyDescent="0.3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</row>
    <row r="96" spans="1:11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</row>
    <row r="97" spans="1:11" x14ac:dyDescent="0.3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</row>
    <row r="98" spans="1:1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</row>
    <row r="99" spans="1:11" x14ac:dyDescent="0.3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</row>
    <row r="100" spans="1:11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</row>
    <row r="101" spans="1:11" x14ac:dyDescent="0.3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</row>
    <row r="102" spans="1:11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</row>
    <row r="103" spans="1:11" x14ac:dyDescent="0.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</row>
    <row r="104" spans="1:11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</row>
    <row r="105" spans="1:11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</row>
    <row r="106" spans="1:11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</row>
    <row r="107" spans="1:11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</row>
    <row r="108" spans="1:11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</row>
    <row r="109" spans="1:11" x14ac:dyDescent="0.3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</row>
    <row r="110" spans="1:11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</row>
    <row r="111" spans="1:11" x14ac:dyDescent="0.3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</row>
    <row r="112" spans="1:11" x14ac:dyDescent="0.3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</row>
    <row r="113" spans="1:11" x14ac:dyDescent="0.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</row>
    <row r="114" spans="1:11" x14ac:dyDescent="0.3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</row>
    <row r="115" spans="1:11" x14ac:dyDescent="0.3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</row>
    <row r="116" spans="1:11" x14ac:dyDescent="0.3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</row>
    <row r="117" spans="1:11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</row>
    <row r="118" spans="1:11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</row>
    <row r="119" spans="1:11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</row>
    <row r="120" spans="1:11" x14ac:dyDescent="0.3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</row>
    <row r="121" spans="1:11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</row>
    <row r="122" spans="1:11" x14ac:dyDescent="0.3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</row>
    <row r="123" spans="1:11" x14ac:dyDescent="0.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</row>
    <row r="124" spans="1:11" x14ac:dyDescent="0.3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</row>
    <row r="125" spans="1:11" x14ac:dyDescent="0.3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</row>
    <row r="126" spans="1:11" x14ac:dyDescent="0.3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</row>
    <row r="127" spans="1:11" x14ac:dyDescent="0.3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</row>
    <row r="128" spans="1:11" x14ac:dyDescent="0.3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</row>
    <row r="129" spans="1:11" x14ac:dyDescent="0.3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</row>
    <row r="130" spans="1:11" x14ac:dyDescent="0.3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</row>
    <row r="131" spans="1:11" x14ac:dyDescent="0.3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</row>
    <row r="132" spans="1:11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</row>
    <row r="133" spans="1:11" x14ac:dyDescent="0.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</row>
    <row r="134" spans="1:11" x14ac:dyDescent="0.3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</row>
    <row r="135" spans="1:11" x14ac:dyDescent="0.3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</row>
    <row r="136" spans="1:11" x14ac:dyDescent="0.3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</row>
    <row r="137" spans="1:11" x14ac:dyDescent="0.3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</row>
    <row r="138" spans="1:11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</row>
    <row r="139" spans="1:11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</row>
    <row r="140" spans="1:11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</row>
    <row r="141" spans="1:11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</row>
    <row r="142" spans="1:11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</row>
    <row r="143" spans="1:11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</row>
    <row r="144" spans="1:11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</row>
    <row r="145" spans="1:11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</row>
    <row r="146" spans="1:11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</row>
    <row r="147" spans="1:11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</row>
    <row r="148" spans="1:11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</row>
    <row r="149" spans="1:11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</row>
    <row r="150" spans="1:11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</row>
    <row r="151" spans="1:11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</row>
    <row r="152" spans="1:11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</row>
    <row r="153" spans="1:11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</row>
    <row r="154" spans="1:11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</row>
    <row r="155" spans="1:11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</row>
    <row r="156" spans="1:11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</row>
    <row r="157" spans="1:11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</row>
    <row r="158" spans="1:11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</row>
    <row r="159" spans="1:11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</row>
    <row r="160" spans="1:11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</row>
    <row r="161" spans="1:11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</row>
    <row r="162" spans="1:11" x14ac:dyDescent="0.3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</row>
    <row r="163" spans="1:11" x14ac:dyDescent="0.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</row>
    <row r="164" spans="1:11" x14ac:dyDescent="0.3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</row>
    <row r="165" spans="1:11" x14ac:dyDescent="0.3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</row>
    <row r="166" spans="1:11" x14ac:dyDescent="0.3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</row>
    <row r="167" spans="1:11" x14ac:dyDescent="0.3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</row>
    <row r="168" spans="1:11" x14ac:dyDescent="0.3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</row>
    <row r="169" spans="1:11" x14ac:dyDescent="0.3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</row>
    <row r="170" spans="1:11" x14ac:dyDescent="0.3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</row>
    <row r="171" spans="1:11" x14ac:dyDescent="0.3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</row>
    <row r="172" spans="1:11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</row>
    <row r="173" spans="1:11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</row>
    <row r="174" spans="1:11" x14ac:dyDescent="0.3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</row>
    <row r="175" spans="1:11" x14ac:dyDescent="0.3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</row>
    <row r="176" spans="1:11" x14ac:dyDescent="0.3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</row>
    <row r="177" spans="1:11" x14ac:dyDescent="0.3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</row>
    <row r="178" spans="1:11" x14ac:dyDescent="0.3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</row>
    <row r="179" spans="1:11" x14ac:dyDescent="0.3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</row>
    <row r="180" spans="1:11" x14ac:dyDescent="0.3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</row>
    <row r="181" spans="1:11" x14ac:dyDescent="0.3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</row>
    <row r="182" spans="1:11" x14ac:dyDescent="0.3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</row>
    <row r="183" spans="1:11" x14ac:dyDescent="0.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</row>
    <row r="184" spans="1:11" x14ac:dyDescent="0.3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</row>
    <row r="185" spans="1:11" x14ac:dyDescent="0.3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</row>
    <row r="186" spans="1:11" x14ac:dyDescent="0.3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</row>
    <row r="187" spans="1:11" x14ac:dyDescent="0.3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</row>
    <row r="188" spans="1:11" x14ac:dyDescent="0.3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</row>
    <row r="189" spans="1:11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</row>
    <row r="190" spans="1:11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</row>
    <row r="191" spans="1:11" x14ac:dyDescent="0.3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</row>
    <row r="192" spans="1:11" x14ac:dyDescent="0.3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</row>
    <row r="193" spans="1:11" x14ac:dyDescent="0.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</row>
    <row r="194" spans="1:11" x14ac:dyDescent="0.3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</row>
    <row r="195" spans="1:11" x14ac:dyDescent="0.3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</row>
    <row r="196" spans="1:11" x14ac:dyDescent="0.3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</row>
    <row r="197" spans="1:11" x14ac:dyDescent="0.3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</row>
    <row r="198" spans="1:11" x14ac:dyDescent="0.3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</row>
    <row r="199" spans="1:11" x14ac:dyDescent="0.3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</row>
    <row r="200" spans="1:11" x14ac:dyDescent="0.3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</row>
    <row r="201" spans="1:11" x14ac:dyDescent="0.3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</row>
    <row r="202" spans="1:11" x14ac:dyDescent="0.3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</row>
    <row r="203" spans="1:11" x14ac:dyDescent="0.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</row>
    <row r="204" spans="1:11" x14ac:dyDescent="0.3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</row>
    <row r="205" spans="1:11" x14ac:dyDescent="0.3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</row>
    <row r="206" spans="1:11" x14ac:dyDescent="0.3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</row>
    <row r="207" spans="1:11" x14ac:dyDescent="0.3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</row>
    <row r="208" spans="1:11" x14ac:dyDescent="0.3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</row>
    <row r="209" spans="1:11" x14ac:dyDescent="0.3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</row>
    <row r="210" spans="1:11" x14ac:dyDescent="0.3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</row>
    <row r="211" spans="1:11" x14ac:dyDescent="0.3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</row>
    <row r="212" spans="1:11" x14ac:dyDescent="0.3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</row>
    <row r="213" spans="1:11" x14ac:dyDescent="0.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</row>
    <row r="214" spans="1:11" x14ac:dyDescent="0.3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</row>
    <row r="215" spans="1:11" x14ac:dyDescent="0.3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</row>
    <row r="216" spans="1:11" x14ac:dyDescent="0.3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</row>
    <row r="217" spans="1:11" x14ac:dyDescent="0.3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</row>
    <row r="218" spans="1:11" x14ac:dyDescent="0.3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</row>
    <row r="219" spans="1:11" x14ac:dyDescent="0.3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</row>
    <row r="220" spans="1:11" x14ac:dyDescent="0.3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</row>
    <row r="221" spans="1:11" x14ac:dyDescent="0.3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</row>
    <row r="222" spans="1:11" x14ac:dyDescent="0.3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</row>
    <row r="223" spans="1:11" x14ac:dyDescent="0.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</row>
    <row r="224" spans="1:11" x14ac:dyDescent="0.3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</row>
    <row r="225" spans="1:11" x14ac:dyDescent="0.3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</row>
    <row r="226" spans="1:11" x14ac:dyDescent="0.3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</row>
    <row r="227" spans="1:11" x14ac:dyDescent="0.3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</row>
    <row r="228" spans="1:11" x14ac:dyDescent="0.3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</row>
    <row r="229" spans="1:11" x14ac:dyDescent="0.3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</row>
    <row r="230" spans="1:11" x14ac:dyDescent="0.3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</row>
    <row r="231" spans="1:11" x14ac:dyDescent="0.3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</row>
    <row r="232" spans="1:11" x14ac:dyDescent="0.3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</row>
    <row r="233" spans="1:11" x14ac:dyDescent="0.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</row>
    <row r="234" spans="1:11" x14ac:dyDescent="0.3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</row>
    <row r="235" spans="1:11" x14ac:dyDescent="0.3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</row>
    <row r="236" spans="1:11" x14ac:dyDescent="0.3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</row>
    <row r="237" spans="1:11" x14ac:dyDescent="0.3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</row>
    <row r="238" spans="1:11" x14ac:dyDescent="0.3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</row>
    <row r="239" spans="1:11" x14ac:dyDescent="0.3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</row>
    <row r="240" spans="1:11" x14ac:dyDescent="0.3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</row>
    <row r="241" spans="1:11" x14ac:dyDescent="0.3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</row>
    <row r="242" spans="1:11" x14ac:dyDescent="0.3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</row>
    <row r="243" spans="1:11" x14ac:dyDescent="0.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</row>
    <row r="244" spans="1:11" x14ac:dyDescent="0.3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</row>
    <row r="245" spans="1:11" x14ac:dyDescent="0.3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</row>
    <row r="246" spans="1:11" x14ac:dyDescent="0.3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</row>
    <row r="247" spans="1:11" x14ac:dyDescent="0.3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</row>
    <row r="248" spans="1:11" x14ac:dyDescent="0.3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</row>
    <row r="249" spans="1:11" x14ac:dyDescent="0.3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</row>
    <row r="250" spans="1:11" x14ac:dyDescent="0.3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</row>
    <row r="251" spans="1:11" x14ac:dyDescent="0.3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</row>
    <row r="252" spans="1:11" x14ac:dyDescent="0.3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</row>
    <row r="253" spans="1:11" x14ac:dyDescent="0.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</row>
    <row r="254" spans="1:11" x14ac:dyDescent="0.3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</row>
    <row r="255" spans="1:11" x14ac:dyDescent="0.3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</row>
    <row r="256" spans="1:11" x14ac:dyDescent="0.3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</row>
    <row r="257" spans="1:11" x14ac:dyDescent="0.3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</row>
    <row r="258" spans="1:11" x14ac:dyDescent="0.3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</row>
    <row r="259" spans="1:11" x14ac:dyDescent="0.3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</row>
    <row r="260" spans="1:11" x14ac:dyDescent="0.3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</row>
    <row r="261" spans="1:11" x14ac:dyDescent="0.3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</row>
    <row r="262" spans="1:11" x14ac:dyDescent="0.3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</row>
    <row r="263" spans="1:11" x14ac:dyDescent="0.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</row>
    <row r="264" spans="1:11" x14ac:dyDescent="0.3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</row>
    <row r="265" spans="1:11" x14ac:dyDescent="0.3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</row>
    <row r="266" spans="1:11" x14ac:dyDescent="0.3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</row>
    <row r="267" spans="1:11" x14ac:dyDescent="0.3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</row>
    <row r="268" spans="1:11" x14ac:dyDescent="0.3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</row>
    <row r="269" spans="1:11" x14ac:dyDescent="0.3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</row>
    <row r="270" spans="1:11" x14ac:dyDescent="0.3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</row>
    <row r="271" spans="1:11" x14ac:dyDescent="0.3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</row>
    <row r="272" spans="1:11" x14ac:dyDescent="0.3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</row>
    <row r="273" spans="1:11" x14ac:dyDescent="0.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</row>
    <row r="274" spans="1:11" x14ac:dyDescent="0.3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</row>
    <row r="275" spans="1:11" x14ac:dyDescent="0.3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</row>
    <row r="276" spans="1:11" x14ac:dyDescent="0.3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</row>
    <row r="277" spans="1:11" x14ac:dyDescent="0.3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</row>
    <row r="278" spans="1:11" x14ac:dyDescent="0.3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</row>
    <row r="279" spans="1:11" x14ac:dyDescent="0.3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</row>
    <row r="280" spans="1:11" x14ac:dyDescent="0.3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</row>
    <row r="281" spans="1:11" x14ac:dyDescent="0.3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</row>
    <row r="282" spans="1:11" x14ac:dyDescent="0.3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</row>
    <row r="283" spans="1:11" x14ac:dyDescent="0.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</row>
    <row r="284" spans="1:11" x14ac:dyDescent="0.3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</row>
    <row r="285" spans="1:11" x14ac:dyDescent="0.3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</row>
    <row r="286" spans="1:11" x14ac:dyDescent="0.3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</row>
    <row r="287" spans="1:11" x14ac:dyDescent="0.3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</row>
    <row r="288" spans="1:11" x14ac:dyDescent="0.3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</row>
    <row r="289" spans="1:11" x14ac:dyDescent="0.3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</row>
    <row r="290" spans="1:11" x14ac:dyDescent="0.3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</row>
    <row r="291" spans="1:11" x14ac:dyDescent="0.3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</row>
    <row r="292" spans="1:11" x14ac:dyDescent="0.3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</row>
    <row r="293" spans="1:11" x14ac:dyDescent="0.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</row>
    <row r="294" spans="1:11" x14ac:dyDescent="0.3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</row>
    <row r="295" spans="1:11" x14ac:dyDescent="0.3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</row>
    <row r="296" spans="1:11" x14ac:dyDescent="0.3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</row>
    <row r="297" spans="1:11" x14ac:dyDescent="0.3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</row>
    <row r="298" spans="1:11" x14ac:dyDescent="0.3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</row>
    <row r="299" spans="1:11" x14ac:dyDescent="0.3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</row>
    <row r="300" spans="1:11" x14ac:dyDescent="0.3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</row>
    <row r="301" spans="1:11" x14ac:dyDescent="0.3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</row>
    <row r="302" spans="1:11" x14ac:dyDescent="0.3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</row>
    <row r="303" spans="1:11" x14ac:dyDescent="0.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</row>
    <row r="304" spans="1:11" x14ac:dyDescent="0.3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</row>
    <row r="305" spans="1:11" x14ac:dyDescent="0.3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</row>
    <row r="306" spans="1:11" x14ac:dyDescent="0.3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</row>
    <row r="307" spans="1:11" x14ac:dyDescent="0.3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</row>
    <row r="308" spans="1:11" x14ac:dyDescent="0.3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</row>
    <row r="309" spans="1:11" x14ac:dyDescent="0.3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</row>
    <row r="310" spans="1:11" x14ac:dyDescent="0.3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</row>
    <row r="311" spans="1:11" x14ac:dyDescent="0.3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</row>
    <row r="312" spans="1:11" x14ac:dyDescent="0.3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</row>
    <row r="313" spans="1:11" x14ac:dyDescent="0.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</row>
    <row r="314" spans="1:11" x14ac:dyDescent="0.3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</row>
    <row r="315" spans="1:11" x14ac:dyDescent="0.3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</row>
    <row r="316" spans="1:11" x14ac:dyDescent="0.3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</row>
    <row r="317" spans="1:11" x14ac:dyDescent="0.3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</row>
    <row r="318" spans="1:11" x14ac:dyDescent="0.3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</row>
    <row r="319" spans="1:11" x14ac:dyDescent="0.3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</row>
    <row r="320" spans="1:11" x14ac:dyDescent="0.3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</row>
    <row r="321" spans="1:11" x14ac:dyDescent="0.3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</row>
    <row r="322" spans="1:11" x14ac:dyDescent="0.3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</row>
    <row r="323" spans="1:11" x14ac:dyDescent="0.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</row>
    <row r="324" spans="1:11" x14ac:dyDescent="0.3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</row>
    <row r="325" spans="1:11" x14ac:dyDescent="0.3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</row>
    <row r="326" spans="1:11" x14ac:dyDescent="0.3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</row>
    <row r="327" spans="1:11" x14ac:dyDescent="0.3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</row>
    <row r="328" spans="1:11" x14ac:dyDescent="0.3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</row>
    <row r="329" spans="1:11" x14ac:dyDescent="0.3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</row>
    <row r="330" spans="1:11" x14ac:dyDescent="0.3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</row>
    <row r="331" spans="1:11" x14ac:dyDescent="0.3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</row>
    <row r="332" spans="1:11" x14ac:dyDescent="0.3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</row>
    <row r="333" spans="1:11" x14ac:dyDescent="0.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</row>
    <row r="334" spans="1:11" x14ac:dyDescent="0.3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</row>
    <row r="335" spans="1:11" x14ac:dyDescent="0.3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</row>
    <row r="336" spans="1:11" x14ac:dyDescent="0.3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</row>
    <row r="337" spans="1:11" x14ac:dyDescent="0.3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</row>
    <row r="338" spans="1:11" x14ac:dyDescent="0.3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</row>
    <row r="339" spans="1:11" x14ac:dyDescent="0.3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</row>
    <row r="340" spans="1:11" x14ac:dyDescent="0.3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</row>
    <row r="341" spans="1:11" x14ac:dyDescent="0.3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</row>
    <row r="342" spans="1:11" x14ac:dyDescent="0.3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</row>
    <row r="343" spans="1:11" x14ac:dyDescent="0.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</row>
    <row r="344" spans="1:11" x14ac:dyDescent="0.3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</row>
    <row r="345" spans="1:11" x14ac:dyDescent="0.3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</row>
    <row r="346" spans="1:11" x14ac:dyDescent="0.3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</row>
    <row r="347" spans="1:11" x14ac:dyDescent="0.3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</row>
    <row r="348" spans="1:11" x14ac:dyDescent="0.3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</row>
    <row r="349" spans="1:11" x14ac:dyDescent="0.3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</row>
    <row r="350" spans="1:11" x14ac:dyDescent="0.3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</row>
    <row r="351" spans="1:11" x14ac:dyDescent="0.3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</row>
    <row r="352" spans="1:11" x14ac:dyDescent="0.3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</row>
    <row r="353" spans="1:11" x14ac:dyDescent="0.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</row>
    <row r="354" spans="1:11" x14ac:dyDescent="0.3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</row>
    <row r="355" spans="1:11" x14ac:dyDescent="0.3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</row>
    <row r="356" spans="1:11" x14ac:dyDescent="0.3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</row>
    <row r="357" spans="1:11" x14ac:dyDescent="0.3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</row>
    <row r="358" spans="1:11" x14ac:dyDescent="0.3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</row>
    <row r="359" spans="1:11" x14ac:dyDescent="0.3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</row>
    <row r="360" spans="1:11" x14ac:dyDescent="0.3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</row>
    <row r="361" spans="1:11" x14ac:dyDescent="0.3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</row>
    <row r="362" spans="1:11" x14ac:dyDescent="0.3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</row>
    <row r="363" spans="1:11" x14ac:dyDescent="0.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</row>
    <row r="364" spans="1:11" x14ac:dyDescent="0.3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</row>
    <row r="365" spans="1:11" x14ac:dyDescent="0.3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</row>
    <row r="366" spans="1:11" x14ac:dyDescent="0.3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</row>
    <row r="367" spans="1:11" x14ac:dyDescent="0.3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</row>
    <row r="368" spans="1:11" x14ac:dyDescent="0.3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</row>
    <row r="369" spans="1:11" x14ac:dyDescent="0.3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</row>
    <row r="370" spans="1:11" x14ac:dyDescent="0.3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</row>
    <row r="371" spans="1:11" x14ac:dyDescent="0.3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</row>
    <row r="372" spans="1:11" x14ac:dyDescent="0.3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</row>
    <row r="373" spans="1:11" x14ac:dyDescent="0.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</row>
    <row r="374" spans="1:11" x14ac:dyDescent="0.3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</row>
    <row r="375" spans="1:11" x14ac:dyDescent="0.3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</row>
    <row r="376" spans="1:11" x14ac:dyDescent="0.3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</row>
    <row r="377" spans="1:11" x14ac:dyDescent="0.3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</row>
    <row r="378" spans="1:11" x14ac:dyDescent="0.3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</row>
    <row r="379" spans="1:11" x14ac:dyDescent="0.3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</row>
    <row r="380" spans="1:11" x14ac:dyDescent="0.3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</row>
    <row r="381" spans="1:11" x14ac:dyDescent="0.3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</row>
    <row r="382" spans="1:11" x14ac:dyDescent="0.3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</row>
    <row r="383" spans="1:11" x14ac:dyDescent="0.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</row>
    <row r="384" spans="1:11" x14ac:dyDescent="0.3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</row>
    <row r="385" spans="1:11" x14ac:dyDescent="0.3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</row>
    <row r="386" spans="1:11" x14ac:dyDescent="0.3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</row>
    <row r="387" spans="1:11" x14ac:dyDescent="0.3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</row>
    <row r="388" spans="1:11" x14ac:dyDescent="0.3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</row>
    <row r="389" spans="1:11" x14ac:dyDescent="0.3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</row>
    <row r="390" spans="1:11" x14ac:dyDescent="0.3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</row>
    <row r="391" spans="1:11" x14ac:dyDescent="0.3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</row>
    <row r="392" spans="1:11" x14ac:dyDescent="0.3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</row>
    <row r="393" spans="1:11" x14ac:dyDescent="0.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</row>
    <row r="394" spans="1:11" x14ac:dyDescent="0.3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</row>
    <row r="395" spans="1:11" x14ac:dyDescent="0.3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</row>
    <row r="396" spans="1:11" x14ac:dyDescent="0.3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</row>
    <row r="397" spans="1:11" x14ac:dyDescent="0.3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</row>
    <row r="398" spans="1:11" x14ac:dyDescent="0.3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</row>
    <row r="399" spans="1:11" x14ac:dyDescent="0.3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</row>
    <row r="400" spans="1:11" x14ac:dyDescent="0.3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</row>
    <row r="401" spans="1:11" x14ac:dyDescent="0.3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</row>
    <row r="402" spans="1:11" x14ac:dyDescent="0.3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</row>
    <row r="403" spans="1:11" x14ac:dyDescent="0.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</row>
    <row r="404" spans="1:11" x14ac:dyDescent="0.3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</row>
    <row r="405" spans="1:11" x14ac:dyDescent="0.3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</row>
    <row r="406" spans="1:11" x14ac:dyDescent="0.3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</row>
    <row r="407" spans="1:11" x14ac:dyDescent="0.3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</row>
    <row r="408" spans="1:11" x14ac:dyDescent="0.3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</row>
    <row r="409" spans="1:11" x14ac:dyDescent="0.3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</row>
    <row r="410" spans="1:11" x14ac:dyDescent="0.3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</row>
    <row r="411" spans="1:11" x14ac:dyDescent="0.3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</row>
    <row r="412" spans="1:11" x14ac:dyDescent="0.3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</row>
    <row r="413" spans="1:11" x14ac:dyDescent="0.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</row>
    <row r="414" spans="1:11" x14ac:dyDescent="0.3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</row>
    <row r="415" spans="1:11" x14ac:dyDescent="0.3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</row>
    <row r="416" spans="1:11" x14ac:dyDescent="0.3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</row>
    <row r="417" spans="1:11" x14ac:dyDescent="0.3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</row>
    <row r="418" spans="1:11" x14ac:dyDescent="0.3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</row>
    <row r="419" spans="1:11" x14ac:dyDescent="0.3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</row>
    <row r="420" spans="1:11" x14ac:dyDescent="0.3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</row>
    <row r="421" spans="1:11" x14ac:dyDescent="0.3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</row>
    <row r="422" spans="1:11" x14ac:dyDescent="0.3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</row>
    <row r="423" spans="1:11" x14ac:dyDescent="0.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</row>
    <row r="424" spans="1:11" x14ac:dyDescent="0.3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</row>
    <row r="425" spans="1:11" x14ac:dyDescent="0.3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</row>
    <row r="426" spans="1:11" x14ac:dyDescent="0.3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</row>
    <row r="427" spans="1:11" x14ac:dyDescent="0.3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</row>
    <row r="428" spans="1:11" x14ac:dyDescent="0.3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</row>
    <row r="429" spans="1:11" x14ac:dyDescent="0.3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</row>
    <row r="430" spans="1:11" x14ac:dyDescent="0.3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</row>
    <row r="431" spans="1:11" x14ac:dyDescent="0.3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</row>
    <row r="432" spans="1:11" x14ac:dyDescent="0.3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</row>
    <row r="433" spans="1:11" x14ac:dyDescent="0.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</row>
    <row r="434" spans="1:11" x14ac:dyDescent="0.3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</row>
    <row r="435" spans="1:11" x14ac:dyDescent="0.3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</row>
    <row r="436" spans="1:11" x14ac:dyDescent="0.3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</row>
    <row r="437" spans="1:11" x14ac:dyDescent="0.3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</row>
    <row r="438" spans="1:11" x14ac:dyDescent="0.3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</row>
    <row r="439" spans="1:11" x14ac:dyDescent="0.3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</row>
    <row r="440" spans="1:11" x14ac:dyDescent="0.3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</row>
    <row r="441" spans="1:11" x14ac:dyDescent="0.3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</row>
    <row r="442" spans="1:11" x14ac:dyDescent="0.3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</row>
    <row r="443" spans="1:11" x14ac:dyDescent="0.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</row>
    <row r="444" spans="1:11" x14ac:dyDescent="0.3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</row>
    <row r="445" spans="1:11" x14ac:dyDescent="0.3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</row>
    <row r="446" spans="1:11" x14ac:dyDescent="0.3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</row>
    <row r="447" spans="1:11" x14ac:dyDescent="0.3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</row>
    <row r="448" spans="1:11" x14ac:dyDescent="0.3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</row>
    <row r="449" spans="1:11" x14ac:dyDescent="0.3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</row>
    <row r="450" spans="1:11" x14ac:dyDescent="0.3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</row>
    <row r="451" spans="1:11" x14ac:dyDescent="0.3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</row>
    <row r="452" spans="1:11" x14ac:dyDescent="0.3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</row>
    <row r="453" spans="1:11" x14ac:dyDescent="0.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</row>
    <row r="454" spans="1:11" x14ac:dyDescent="0.3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</row>
    <row r="455" spans="1:11" x14ac:dyDescent="0.3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</row>
    <row r="456" spans="1:11" x14ac:dyDescent="0.3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</row>
    <row r="457" spans="1:11" x14ac:dyDescent="0.3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</row>
    <row r="458" spans="1:11" x14ac:dyDescent="0.3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</row>
    <row r="459" spans="1:11" x14ac:dyDescent="0.3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</row>
    <row r="460" spans="1:11" x14ac:dyDescent="0.3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</row>
    <row r="461" spans="1:11" x14ac:dyDescent="0.3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</row>
    <row r="462" spans="1:11" x14ac:dyDescent="0.3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</row>
    <row r="463" spans="1:11" x14ac:dyDescent="0.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</row>
    <row r="464" spans="1:11" x14ac:dyDescent="0.3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</row>
    <row r="465" spans="1:11" x14ac:dyDescent="0.3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</row>
    <row r="466" spans="1:11" x14ac:dyDescent="0.3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</row>
    <row r="467" spans="1:11" x14ac:dyDescent="0.3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</row>
    <row r="468" spans="1:11" x14ac:dyDescent="0.3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</row>
    <row r="469" spans="1:11" x14ac:dyDescent="0.3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</row>
    <row r="470" spans="1:11" x14ac:dyDescent="0.3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</row>
    <row r="471" spans="1:11" x14ac:dyDescent="0.3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</row>
    <row r="472" spans="1:11" x14ac:dyDescent="0.3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</row>
    <row r="473" spans="1:11" x14ac:dyDescent="0.3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</row>
    <row r="474" spans="1:11" x14ac:dyDescent="0.3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</row>
    <row r="475" spans="1:11" x14ac:dyDescent="0.3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</row>
    <row r="476" spans="1:11" x14ac:dyDescent="0.3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</row>
    <row r="477" spans="1:11" x14ac:dyDescent="0.3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</row>
    <row r="478" spans="1:11" x14ac:dyDescent="0.3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</row>
    <row r="479" spans="1:11" x14ac:dyDescent="0.3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</row>
    <row r="480" spans="1:11" x14ac:dyDescent="0.3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</row>
    <row r="481" spans="1:11" x14ac:dyDescent="0.3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</row>
    <row r="482" spans="1:11" x14ac:dyDescent="0.3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</row>
    <row r="483" spans="1:11" x14ac:dyDescent="0.3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</row>
    <row r="484" spans="1:11" x14ac:dyDescent="0.3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</row>
    <row r="485" spans="1:11" x14ac:dyDescent="0.3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</row>
    <row r="486" spans="1:11" x14ac:dyDescent="0.3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</row>
    <row r="487" spans="1:11" x14ac:dyDescent="0.3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</row>
    <row r="488" spans="1:11" x14ac:dyDescent="0.3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</row>
    <row r="489" spans="1:11" x14ac:dyDescent="0.3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</row>
    <row r="490" spans="1:11" x14ac:dyDescent="0.3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</row>
    <row r="491" spans="1:11" x14ac:dyDescent="0.3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</row>
    <row r="492" spans="1:11" x14ac:dyDescent="0.3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</row>
    <row r="493" spans="1:11" x14ac:dyDescent="0.3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</row>
    <row r="494" spans="1:11" x14ac:dyDescent="0.3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</row>
    <row r="495" spans="1:11" x14ac:dyDescent="0.3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</row>
    <row r="496" spans="1:11" x14ac:dyDescent="0.3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</row>
    <row r="497" spans="1:11" x14ac:dyDescent="0.3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</row>
    <row r="498" spans="1:11" x14ac:dyDescent="0.3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</row>
    <row r="499" spans="1:11" x14ac:dyDescent="0.3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</row>
    <row r="500" spans="1:11" x14ac:dyDescent="0.3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</row>
    <row r="501" spans="1:11" x14ac:dyDescent="0.3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</row>
    <row r="502" spans="1:11" x14ac:dyDescent="0.3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</row>
    <row r="503" spans="1:11" x14ac:dyDescent="0.3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</row>
    <row r="504" spans="1:11" x14ac:dyDescent="0.3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</row>
    <row r="505" spans="1:11" x14ac:dyDescent="0.3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</row>
    <row r="506" spans="1:11" x14ac:dyDescent="0.3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</row>
    <row r="507" spans="1:11" x14ac:dyDescent="0.3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</row>
    <row r="508" spans="1:11" x14ac:dyDescent="0.3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</row>
    <row r="509" spans="1:11" x14ac:dyDescent="0.3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</row>
    <row r="510" spans="1:11" x14ac:dyDescent="0.3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</row>
    <row r="511" spans="1:11" x14ac:dyDescent="0.3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</row>
    <row r="512" spans="1:11" x14ac:dyDescent="0.3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</row>
    <row r="513" spans="1:11" x14ac:dyDescent="0.3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</row>
    <row r="514" spans="1:11" x14ac:dyDescent="0.3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</row>
    <row r="515" spans="1:11" x14ac:dyDescent="0.3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</row>
    <row r="516" spans="1:11" x14ac:dyDescent="0.3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</row>
    <row r="517" spans="1:11" x14ac:dyDescent="0.3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</row>
    <row r="518" spans="1:11" x14ac:dyDescent="0.3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</row>
    <row r="519" spans="1:11" x14ac:dyDescent="0.3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</row>
    <row r="520" spans="1:11" x14ac:dyDescent="0.3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</row>
    <row r="521" spans="1:11" x14ac:dyDescent="0.3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</row>
    <row r="522" spans="1:11" x14ac:dyDescent="0.3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</row>
    <row r="523" spans="1:11" x14ac:dyDescent="0.3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</row>
    <row r="524" spans="1:11" x14ac:dyDescent="0.3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</row>
    <row r="525" spans="1:11" x14ac:dyDescent="0.3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</row>
    <row r="526" spans="1:11" x14ac:dyDescent="0.3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</row>
    <row r="527" spans="1:11" x14ac:dyDescent="0.3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</row>
    <row r="528" spans="1:11" x14ac:dyDescent="0.3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</row>
    <row r="529" spans="1:11" x14ac:dyDescent="0.3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</row>
    <row r="530" spans="1:11" x14ac:dyDescent="0.3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</row>
    <row r="531" spans="1:11" x14ac:dyDescent="0.3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</row>
    <row r="532" spans="1:11" x14ac:dyDescent="0.3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</row>
    <row r="533" spans="1:11" x14ac:dyDescent="0.3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</row>
    <row r="534" spans="1:11" x14ac:dyDescent="0.3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</row>
    <row r="535" spans="1:11" x14ac:dyDescent="0.3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</row>
    <row r="536" spans="1:11" x14ac:dyDescent="0.3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</row>
    <row r="537" spans="1:11" x14ac:dyDescent="0.3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</row>
    <row r="538" spans="1:11" x14ac:dyDescent="0.3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</row>
    <row r="539" spans="1:11" x14ac:dyDescent="0.3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</row>
    <row r="540" spans="1:11" x14ac:dyDescent="0.3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</row>
    <row r="541" spans="1:11" x14ac:dyDescent="0.3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</row>
    <row r="542" spans="1:11" x14ac:dyDescent="0.3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</row>
    <row r="543" spans="1:11" x14ac:dyDescent="0.3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</row>
    <row r="544" spans="1:11" x14ac:dyDescent="0.3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</row>
    <row r="545" spans="1:11" x14ac:dyDescent="0.3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</row>
    <row r="546" spans="1:11" x14ac:dyDescent="0.3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</row>
    <row r="547" spans="1:11" x14ac:dyDescent="0.3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</row>
    <row r="548" spans="1:11" x14ac:dyDescent="0.3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</row>
    <row r="549" spans="1:11" x14ac:dyDescent="0.3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</row>
    <row r="550" spans="1:11" x14ac:dyDescent="0.3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</row>
    <row r="551" spans="1:11" x14ac:dyDescent="0.3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</row>
    <row r="552" spans="1:11" x14ac:dyDescent="0.3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</row>
    <row r="553" spans="1:11" x14ac:dyDescent="0.3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</row>
    <row r="554" spans="1:11" x14ac:dyDescent="0.3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</row>
    <row r="555" spans="1:11" x14ac:dyDescent="0.3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</row>
    <row r="556" spans="1:11" x14ac:dyDescent="0.3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</row>
    <row r="557" spans="1:11" x14ac:dyDescent="0.3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</row>
    <row r="558" spans="1:11" x14ac:dyDescent="0.3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</row>
    <row r="559" spans="1:11" x14ac:dyDescent="0.3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</row>
    <row r="560" spans="1:11" x14ac:dyDescent="0.3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</row>
    <row r="561" spans="1:11" x14ac:dyDescent="0.3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</row>
    <row r="562" spans="1:11" x14ac:dyDescent="0.3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</row>
    <row r="563" spans="1:11" x14ac:dyDescent="0.3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</row>
    <row r="564" spans="1:11" x14ac:dyDescent="0.3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</row>
    <row r="565" spans="1:11" x14ac:dyDescent="0.3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</row>
    <row r="566" spans="1:11" x14ac:dyDescent="0.3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</row>
    <row r="567" spans="1:11" x14ac:dyDescent="0.3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</row>
    <row r="568" spans="1:11" x14ac:dyDescent="0.3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</row>
    <row r="569" spans="1:11" x14ac:dyDescent="0.3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</row>
    <row r="570" spans="1:11" x14ac:dyDescent="0.3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</row>
    <row r="571" spans="1:11" x14ac:dyDescent="0.3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</row>
    <row r="572" spans="1:11" x14ac:dyDescent="0.3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</row>
    <row r="573" spans="1:11" x14ac:dyDescent="0.3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</row>
    <row r="574" spans="1:11" x14ac:dyDescent="0.3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</row>
    <row r="575" spans="1:11" x14ac:dyDescent="0.3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</row>
    <row r="576" spans="1:11" x14ac:dyDescent="0.3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</row>
    <row r="577" spans="1:11" x14ac:dyDescent="0.3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</row>
    <row r="578" spans="1:11" x14ac:dyDescent="0.3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</row>
    <row r="579" spans="1:11" x14ac:dyDescent="0.3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</row>
    <row r="580" spans="1:11" x14ac:dyDescent="0.3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</row>
    <row r="581" spans="1:11" x14ac:dyDescent="0.3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</row>
    <row r="582" spans="1:11" x14ac:dyDescent="0.3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</row>
    <row r="583" spans="1:11" x14ac:dyDescent="0.3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</row>
    <row r="584" spans="1:11" x14ac:dyDescent="0.3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</row>
    <row r="585" spans="1:11" x14ac:dyDescent="0.3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</row>
    <row r="586" spans="1:11" x14ac:dyDescent="0.3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</row>
    <row r="587" spans="1:11" x14ac:dyDescent="0.3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</row>
    <row r="588" spans="1:11" x14ac:dyDescent="0.3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</row>
    <row r="589" spans="1:11" x14ac:dyDescent="0.3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</row>
    <row r="590" spans="1:11" x14ac:dyDescent="0.3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</row>
    <row r="591" spans="1:11" x14ac:dyDescent="0.3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</row>
    <row r="592" spans="1:11" x14ac:dyDescent="0.3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</row>
    <row r="593" spans="1:11" x14ac:dyDescent="0.3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</row>
    <row r="594" spans="1:11" x14ac:dyDescent="0.3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</row>
    <row r="595" spans="1:11" x14ac:dyDescent="0.3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</row>
    <row r="596" spans="1:11" x14ac:dyDescent="0.3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</row>
    <row r="597" spans="1:11" x14ac:dyDescent="0.3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</row>
    <row r="598" spans="1:11" x14ac:dyDescent="0.3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</row>
    <row r="599" spans="1:11" x14ac:dyDescent="0.3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</row>
    <row r="600" spans="1:11" x14ac:dyDescent="0.3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</row>
    <row r="601" spans="1:11" x14ac:dyDescent="0.3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</row>
    <row r="602" spans="1:11" x14ac:dyDescent="0.3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</row>
    <row r="603" spans="1:11" x14ac:dyDescent="0.3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</row>
    <row r="604" spans="1:11" x14ac:dyDescent="0.3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</row>
    <row r="605" spans="1:11" x14ac:dyDescent="0.3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</row>
    <row r="606" spans="1:11" x14ac:dyDescent="0.3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</row>
    <row r="607" spans="1:11" x14ac:dyDescent="0.3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</row>
    <row r="608" spans="1:11" x14ac:dyDescent="0.3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</row>
    <row r="609" spans="1:11" x14ac:dyDescent="0.3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</row>
    <row r="610" spans="1:11" x14ac:dyDescent="0.3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</row>
    <row r="611" spans="1:11" x14ac:dyDescent="0.3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</row>
    <row r="612" spans="1:11" x14ac:dyDescent="0.3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</row>
    <row r="613" spans="1:11" x14ac:dyDescent="0.3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</row>
    <row r="614" spans="1:11" x14ac:dyDescent="0.3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</row>
    <row r="615" spans="1:11" x14ac:dyDescent="0.3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</row>
    <row r="616" spans="1:11" x14ac:dyDescent="0.3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</row>
    <row r="617" spans="1:11" x14ac:dyDescent="0.3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</row>
    <row r="618" spans="1:11" x14ac:dyDescent="0.3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</row>
    <row r="619" spans="1:11" x14ac:dyDescent="0.3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</row>
    <row r="620" spans="1:11" x14ac:dyDescent="0.3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</row>
    <row r="621" spans="1:11" x14ac:dyDescent="0.3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</row>
    <row r="622" spans="1:11" x14ac:dyDescent="0.3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</row>
    <row r="623" spans="1:11" x14ac:dyDescent="0.3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</row>
    <row r="624" spans="1:11" x14ac:dyDescent="0.3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</row>
    <row r="625" spans="1:11" x14ac:dyDescent="0.3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</row>
    <row r="626" spans="1:11" x14ac:dyDescent="0.3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</row>
    <row r="627" spans="1:11" x14ac:dyDescent="0.3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</row>
    <row r="628" spans="1:11" x14ac:dyDescent="0.3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</row>
    <row r="629" spans="1:11" x14ac:dyDescent="0.3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</row>
    <row r="630" spans="1:11" x14ac:dyDescent="0.3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</row>
    <row r="631" spans="1:11" x14ac:dyDescent="0.3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</row>
    <row r="632" spans="1:11" x14ac:dyDescent="0.3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</row>
    <row r="633" spans="1:11" x14ac:dyDescent="0.3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</row>
    <row r="634" spans="1:11" x14ac:dyDescent="0.3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</row>
    <row r="635" spans="1:11" x14ac:dyDescent="0.3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</row>
    <row r="636" spans="1:11" x14ac:dyDescent="0.3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</row>
    <row r="637" spans="1:11" x14ac:dyDescent="0.3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</row>
    <row r="638" spans="1:11" x14ac:dyDescent="0.3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</row>
    <row r="639" spans="1:11" x14ac:dyDescent="0.3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</row>
    <row r="640" spans="1:11" x14ac:dyDescent="0.3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</row>
    <row r="641" spans="1:11" x14ac:dyDescent="0.3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</row>
    <row r="642" spans="1:11" x14ac:dyDescent="0.3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</row>
    <row r="643" spans="1:11" x14ac:dyDescent="0.3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</row>
    <row r="644" spans="1:11" x14ac:dyDescent="0.3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</row>
    <row r="645" spans="1:11" x14ac:dyDescent="0.3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</row>
    <row r="646" spans="1:11" x14ac:dyDescent="0.3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</row>
    <row r="647" spans="1:11" x14ac:dyDescent="0.3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</row>
    <row r="648" spans="1:11" x14ac:dyDescent="0.3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</row>
    <row r="649" spans="1:11" x14ac:dyDescent="0.3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</row>
    <row r="650" spans="1:11" x14ac:dyDescent="0.3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</row>
    <row r="651" spans="1:11" x14ac:dyDescent="0.3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</row>
    <row r="652" spans="1:11" x14ac:dyDescent="0.3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</row>
    <row r="653" spans="1:11" x14ac:dyDescent="0.3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</row>
    <row r="654" spans="1:11" x14ac:dyDescent="0.3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</row>
    <row r="655" spans="1:11" x14ac:dyDescent="0.3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</row>
    <row r="656" spans="1:11" x14ac:dyDescent="0.3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</row>
    <row r="657" spans="1:11" x14ac:dyDescent="0.3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</row>
    <row r="658" spans="1:11" x14ac:dyDescent="0.3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</row>
    <row r="659" spans="1:11" x14ac:dyDescent="0.3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</row>
    <row r="660" spans="1:11" x14ac:dyDescent="0.3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</row>
    <row r="661" spans="1:11" x14ac:dyDescent="0.3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</row>
    <row r="662" spans="1:11" x14ac:dyDescent="0.3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</row>
    <row r="663" spans="1:11" x14ac:dyDescent="0.3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</row>
    <row r="664" spans="1:11" x14ac:dyDescent="0.3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</row>
    <row r="665" spans="1:11" x14ac:dyDescent="0.3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</row>
    <row r="666" spans="1:11" x14ac:dyDescent="0.3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</row>
    <row r="667" spans="1:11" x14ac:dyDescent="0.3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</row>
    <row r="668" spans="1:11" x14ac:dyDescent="0.3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</row>
    <row r="669" spans="1:11" x14ac:dyDescent="0.3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</row>
    <row r="670" spans="1:11" x14ac:dyDescent="0.3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</row>
    <row r="671" spans="1:11" x14ac:dyDescent="0.3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</row>
    <row r="672" spans="1:11" x14ac:dyDescent="0.3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</row>
    <row r="673" spans="1:11" x14ac:dyDescent="0.3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</row>
    <row r="674" spans="1:11" x14ac:dyDescent="0.3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</row>
    <row r="675" spans="1:11" x14ac:dyDescent="0.3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</row>
    <row r="676" spans="1:11" x14ac:dyDescent="0.3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</row>
    <row r="677" spans="1:11" x14ac:dyDescent="0.3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</row>
    <row r="678" spans="1:11" x14ac:dyDescent="0.3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</row>
    <row r="679" spans="1:11" x14ac:dyDescent="0.3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</row>
    <row r="680" spans="1:11" x14ac:dyDescent="0.3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</row>
    <row r="681" spans="1:11" x14ac:dyDescent="0.3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</row>
    <row r="682" spans="1:11" x14ac:dyDescent="0.3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</row>
    <row r="683" spans="1:11" x14ac:dyDescent="0.3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</row>
    <row r="684" spans="1:11" x14ac:dyDescent="0.3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</row>
    <row r="685" spans="1:11" x14ac:dyDescent="0.3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</row>
    <row r="686" spans="1:11" x14ac:dyDescent="0.3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</row>
    <row r="687" spans="1:11" x14ac:dyDescent="0.3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</row>
    <row r="688" spans="1:11" x14ac:dyDescent="0.3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</row>
    <row r="689" spans="1:11" x14ac:dyDescent="0.3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</row>
    <row r="690" spans="1:11" x14ac:dyDescent="0.3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</row>
    <row r="691" spans="1:11" x14ac:dyDescent="0.3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</row>
    <row r="692" spans="1:11" x14ac:dyDescent="0.3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</row>
    <row r="693" spans="1:11" x14ac:dyDescent="0.3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</row>
    <row r="694" spans="1:11" x14ac:dyDescent="0.3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</row>
    <row r="695" spans="1:11" x14ac:dyDescent="0.3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</row>
    <row r="696" spans="1:11" x14ac:dyDescent="0.3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</row>
    <row r="697" spans="1:11" x14ac:dyDescent="0.3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</row>
    <row r="698" spans="1:11" x14ac:dyDescent="0.3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</row>
    <row r="699" spans="1:11" x14ac:dyDescent="0.3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</row>
    <row r="700" spans="1:11" x14ac:dyDescent="0.3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</row>
    <row r="701" spans="1:11" x14ac:dyDescent="0.3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</row>
    <row r="702" spans="1:11" x14ac:dyDescent="0.3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</row>
    <row r="703" spans="1:11" x14ac:dyDescent="0.3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</row>
    <row r="704" spans="1:11" x14ac:dyDescent="0.3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</row>
    <row r="705" spans="1:11" x14ac:dyDescent="0.3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</row>
    <row r="706" spans="1:11" x14ac:dyDescent="0.3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</row>
    <row r="707" spans="1:11" x14ac:dyDescent="0.3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</row>
    <row r="708" spans="1:11" x14ac:dyDescent="0.3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</row>
    <row r="709" spans="1:11" x14ac:dyDescent="0.3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</row>
    <row r="710" spans="1:11" x14ac:dyDescent="0.3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</row>
    <row r="711" spans="1:11" x14ac:dyDescent="0.3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</row>
    <row r="712" spans="1:11" x14ac:dyDescent="0.3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</row>
    <row r="713" spans="1:11" x14ac:dyDescent="0.3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</row>
    <row r="714" spans="1:11" x14ac:dyDescent="0.3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</row>
    <row r="715" spans="1:11" x14ac:dyDescent="0.3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</row>
    <row r="716" spans="1:11" x14ac:dyDescent="0.3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</row>
    <row r="717" spans="1:11" x14ac:dyDescent="0.3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</row>
    <row r="718" spans="1:11" x14ac:dyDescent="0.3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</row>
    <row r="719" spans="1:11" x14ac:dyDescent="0.3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</row>
    <row r="720" spans="1:11" x14ac:dyDescent="0.3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</row>
    <row r="721" spans="1:11" x14ac:dyDescent="0.3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</row>
    <row r="722" spans="1:11" x14ac:dyDescent="0.3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</row>
    <row r="723" spans="1:11" x14ac:dyDescent="0.3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</row>
    <row r="724" spans="1:11" x14ac:dyDescent="0.3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</row>
    <row r="725" spans="1:11" x14ac:dyDescent="0.3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</row>
    <row r="726" spans="1:11" x14ac:dyDescent="0.3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</row>
    <row r="727" spans="1:11" x14ac:dyDescent="0.3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</row>
    <row r="728" spans="1:11" x14ac:dyDescent="0.3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</row>
    <row r="729" spans="1:11" x14ac:dyDescent="0.3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</row>
    <row r="730" spans="1:11" x14ac:dyDescent="0.3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</row>
    <row r="731" spans="1:11" x14ac:dyDescent="0.3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</row>
    <row r="732" spans="1:11" x14ac:dyDescent="0.3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</row>
    <row r="733" spans="1:11" x14ac:dyDescent="0.3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</row>
    <row r="734" spans="1:11" x14ac:dyDescent="0.3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</row>
    <row r="735" spans="1:11" x14ac:dyDescent="0.3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</row>
    <row r="736" spans="1:11" x14ac:dyDescent="0.3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</row>
    <row r="737" spans="1:11" x14ac:dyDescent="0.3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</row>
    <row r="738" spans="1:11" x14ac:dyDescent="0.3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</row>
    <row r="739" spans="1:11" x14ac:dyDescent="0.3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</row>
    <row r="740" spans="1:11" x14ac:dyDescent="0.3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</row>
    <row r="741" spans="1:11" x14ac:dyDescent="0.3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</row>
    <row r="742" spans="1:11" x14ac:dyDescent="0.3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</row>
    <row r="743" spans="1:11" x14ac:dyDescent="0.3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</row>
    <row r="744" spans="1:11" x14ac:dyDescent="0.3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</row>
    <row r="745" spans="1:11" x14ac:dyDescent="0.3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</row>
    <row r="746" spans="1:11" x14ac:dyDescent="0.3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</row>
    <row r="747" spans="1:11" x14ac:dyDescent="0.3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</row>
    <row r="748" spans="1:11" x14ac:dyDescent="0.3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</row>
    <row r="749" spans="1:11" x14ac:dyDescent="0.3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</row>
    <row r="750" spans="1:11" x14ac:dyDescent="0.3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</row>
    <row r="751" spans="1:11" x14ac:dyDescent="0.3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</row>
    <row r="752" spans="1:11" x14ac:dyDescent="0.3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</row>
    <row r="753" spans="1:11" x14ac:dyDescent="0.3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</row>
    <row r="754" spans="1:11" x14ac:dyDescent="0.3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</row>
    <row r="755" spans="1:11" x14ac:dyDescent="0.3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</row>
    <row r="756" spans="1:11" x14ac:dyDescent="0.3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</row>
    <row r="757" spans="1:11" x14ac:dyDescent="0.3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</row>
    <row r="758" spans="1:11" x14ac:dyDescent="0.3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</row>
    <row r="759" spans="1:11" x14ac:dyDescent="0.3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</row>
    <row r="760" spans="1:11" x14ac:dyDescent="0.3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</row>
    <row r="761" spans="1:11" x14ac:dyDescent="0.3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</row>
    <row r="762" spans="1:11" x14ac:dyDescent="0.3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</row>
    <row r="763" spans="1:11" x14ac:dyDescent="0.3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</row>
    <row r="764" spans="1:11" x14ac:dyDescent="0.3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</row>
    <row r="765" spans="1:11" x14ac:dyDescent="0.3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</row>
    <row r="766" spans="1:11" x14ac:dyDescent="0.3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</row>
    <row r="767" spans="1:11" x14ac:dyDescent="0.3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</row>
    <row r="768" spans="1:11" x14ac:dyDescent="0.3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</row>
    <row r="769" spans="1:11" x14ac:dyDescent="0.3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</row>
    <row r="770" spans="1:11" x14ac:dyDescent="0.3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</row>
    <row r="771" spans="1:11" x14ac:dyDescent="0.3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</row>
    <row r="772" spans="1:11" x14ac:dyDescent="0.3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</row>
    <row r="773" spans="1:11" x14ac:dyDescent="0.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</row>
    <row r="774" spans="1:11" x14ac:dyDescent="0.3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</row>
    <row r="775" spans="1:11" x14ac:dyDescent="0.3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</row>
    <row r="776" spans="1:11" x14ac:dyDescent="0.3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</row>
    <row r="777" spans="1:11" x14ac:dyDescent="0.3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</row>
    <row r="778" spans="1:11" x14ac:dyDescent="0.3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</row>
    <row r="779" spans="1:11" x14ac:dyDescent="0.3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</row>
    <row r="780" spans="1:11" x14ac:dyDescent="0.3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</row>
    <row r="781" spans="1:11" x14ac:dyDescent="0.3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</row>
    <row r="782" spans="1:11" x14ac:dyDescent="0.3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</row>
    <row r="783" spans="1:11" x14ac:dyDescent="0.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</row>
    <row r="784" spans="1:11" x14ac:dyDescent="0.3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</row>
    <row r="785" spans="1:11" x14ac:dyDescent="0.3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</row>
    <row r="786" spans="1:11" x14ac:dyDescent="0.3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</row>
    <row r="787" spans="1:11" x14ac:dyDescent="0.3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</row>
    <row r="788" spans="1:11" x14ac:dyDescent="0.3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</row>
    <row r="789" spans="1:11" x14ac:dyDescent="0.3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</row>
    <row r="790" spans="1:11" x14ac:dyDescent="0.3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</row>
    <row r="791" spans="1:11" x14ac:dyDescent="0.3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</row>
    <row r="792" spans="1:11" x14ac:dyDescent="0.3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</row>
    <row r="793" spans="1:11" x14ac:dyDescent="0.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</row>
    <row r="794" spans="1:11" x14ac:dyDescent="0.3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</row>
    <row r="795" spans="1:11" x14ac:dyDescent="0.3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</row>
    <row r="796" spans="1:11" x14ac:dyDescent="0.3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</row>
    <row r="797" spans="1:11" x14ac:dyDescent="0.3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</row>
    <row r="798" spans="1:11" x14ac:dyDescent="0.3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</row>
    <row r="799" spans="1:11" x14ac:dyDescent="0.3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</row>
    <row r="800" spans="1:11" x14ac:dyDescent="0.3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</row>
    <row r="801" spans="1:11" x14ac:dyDescent="0.3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</row>
    <row r="802" spans="1:11" x14ac:dyDescent="0.3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</row>
    <row r="803" spans="1:11" x14ac:dyDescent="0.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</row>
    <row r="804" spans="1:11" x14ac:dyDescent="0.3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</row>
    <row r="805" spans="1:11" x14ac:dyDescent="0.3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</row>
    <row r="806" spans="1:11" x14ac:dyDescent="0.3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</row>
    <row r="807" spans="1:11" x14ac:dyDescent="0.3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</row>
    <row r="808" spans="1:11" x14ac:dyDescent="0.3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</row>
    <row r="809" spans="1:11" x14ac:dyDescent="0.3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</row>
    <row r="810" spans="1:11" x14ac:dyDescent="0.3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</row>
    <row r="811" spans="1:11" x14ac:dyDescent="0.3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</row>
    <row r="812" spans="1:11" x14ac:dyDescent="0.3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</row>
    <row r="813" spans="1:11" x14ac:dyDescent="0.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</row>
    <row r="814" spans="1:11" x14ac:dyDescent="0.3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</row>
    <row r="815" spans="1:11" x14ac:dyDescent="0.3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</row>
    <row r="816" spans="1:11" x14ac:dyDescent="0.3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</row>
    <row r="817" spans="1:11" x14ac:dyDescent="0.3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</row>
    <row r="818" spans="1:11" x14ac:dyDescent="0.3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</row>
    <row r="819" spans="1:11" x14ac:dyDescent="0.3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</row>
    <row r="820" spans="1:11" x14ac:dyDescent="0.3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</row>
    <row r="821" spans="1:11" x14ac:dyDescent="0.3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</row>
    <row r="822" spans="1:11" x14ac:dyDescent="0.3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</row>
    <row r="823" spans="1:11" x14ac:dyDescent="0.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</row>
    <row r="824" spans="1:11" x14ac:dyDescent="0.3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</row>
    <row r="825" spans="1:11" x14ac:dyDescent="0.3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</row>
    <row r="826" spans="1:11" x14ac:dyDescent="0.3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</row>
    <row r="827" spans="1:11" x14ac:dyDescent="0.3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</row>
    <row r="828" spans="1:11" x14ac:dyDescent="0.3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</row>
    <row r="829" spans="1:11" x14ac:dyDescent="0.3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</row>
    <row r="830" spans="1:11" x14ac:dyDescent="0.3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</row>
    <row r="831" spans="1:11" x14ac:dyDescent="0.3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</row>
    <row r="832" spans="1:11" x14ac:dyDescent="0.3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</row>
    <row r="833" spans="1:11" x14ac:dyDescent="0.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</row>
    <row r="834" spans="1:11" x14ac:dyDescent="0.3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</row>
    <row r="835" spans="1:11" x14ac:dyDescent="0.3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</row>
    <row r="836" spans="1:11" x14ac:dyDescent="0.3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</row>
    <row r="837" spans="1:11" x14ac:dyDescent="0.3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</row>
    <row r="838" spans="1:11" x14ac:dyDescent="0.3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</row>
    <row r="839" spans="1:11" x14ac:dyDescent="0.3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</row>
    <row r="840" spans="1:11" x14ac:dyDescent="0.3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</row>
    <row r="841" spans="1:11" x14ac:dyDescent="0.3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</row>
    <row r="842" spans="1:11" x14ac:dyDescent="0.3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</row>
    <row r="843" spans="1:11" x14ac:dyDescent="0.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</row>
    <row r="844" spans="1:11" x14ac:dyDescent="0.3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</row>
    <row r="845" spans="1:11" x14ac:dyDescent="0.3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</row>
    <row r="846" spans="1:11" x14ac:dyDescent="0.3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</row>
    <row r="847" spans="1:11" x14ac:dyDescent="0.3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</row>
    <row r="848" spans="1:11" x14ac:dyDescent="0.3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</row>
    <row r="849" spans="1:11" x14ac:dyDescent="0.3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</row>
    <row r="850" spans="1:11" x14ac:dyDescent="0.3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</row>
    <row r="851" spans="1:11" x14ac:dyDescent="0.3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</row>
    <row r="852" spans="1:11" x14ac:dyDescent="0.3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</row>
    <row r="853" spans="1:11" x14ac:dyDescent="0.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</row>
    <row r="854" spans="1:11" x14ac:dyDescent="0.3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</row>
    <row r="855" spans="1:11" x14ac:dyDescent="0.3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</row>
    <row r="856" spans="1:11" x14ac:dyDescent="0.3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</row>
    <row r="857" spans="1:11" x14ac:dyDescent="0.3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</row>
    <row r="858" spans="1:11" x14ac:dyDescent="0.3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</row>
    <row r="859" spans="1:11" x14ac:dyDescent="0.3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</row>
    <row r="860" spans="1:11" x14ac:dyDescent="0.3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</row>
    <row r="861" spans="1:11" x14ac:dyDescent="0.3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</row>
    <row r="862" spans="1:11" x14ac:dyDescent="0.3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</row>
    <row r="863" spans="1:11" x14ac:dyDescent="0.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</row>
    <row r="864" spans="1:11" x14ac:dyDescent="0.3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</row>
    <row r="865" spans="1:11" x14ac:dyDescent="0.3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</row>
    <row r="866" spans="1:11" x14ac:dyDescent="0.3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</row>
    <row r="867" spans="1:11" x14ac:dyDescent="0.3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</row>
    <row r="868" spans="1:11" x14ac:dyDescent="0.3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</row>
    <row r="869" spans="1:11" x14ac:dyDescent="0.3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</row>
    <row r="870" spans="1:11" x14ac:dyDescent="0.3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</row>
    <row r="871" spans="1:11" x14ac:dyDescent="0.3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</row>
    <row r="872" spans="1:11" x14ac:dyDescent="0.3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</row>
    <row r="873" spans="1:11" x14ac:dyDescent="0.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</row>
    <row r="874" spans="1:11" x14ac:dyDescent="0.3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</row>
    <row r="875" spans="1:11" x14ac:dyDescent="0.3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</row>
    <row r="876" spans="1:11" x14ac:dyDescent="0.3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</row>
    <row r="877" spans="1:11" x14ac:dyDescent="0.3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</row>
    <row r="878" spans="1:11" x14ac:dyDescent="0.3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</row>
    <row r="879" spans="1:11" x14ac:dyDescent="0.3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</row>
    <row r="880" spans="1:11" x14ac:dyDescent="0.3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</row>
    <row r="881" spans="1:11" x14ac:dyDescent="0.3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</row>
    <row r="882" spans="1:11" x14ac:dyDescent="0.3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</row>
    <row r="883" spans="1:11" x14ac:dyDescent="0.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</row>
    <row r="884" spans="1:11" x14ac:dyDescent="0.3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</row>
    <row r="885" spans="1:11" x14ac:dyDescent="0.3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</row>
    <row r="886" spans="1:11" x14ac:dyDescent="0.3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</row>
    <row r="887" spans="1:11" x14ac:dyDescent="0.3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</row>
    <row r="888" spans="1:11" x14ac:dyDescent="0.3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</row>
    <row r="889" spans="1:11" x14ac:dyDescent="0.3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</row>
    <row r="890" spans="1:11" x14ac:dyDescent="0.3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</row>
    <row r="891" spans="1:11" x14ac:dyDescent="0.3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</row>
    <row r="892" spans="1:11" x14ac:dyDescent="0.3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</row>
    <row r="893" spans="1:11" x14ac:dyDescent="0.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</row>
    <row r="894" spans="1:11" x14ac:dyDescent="0.3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</row>
    <row r="895" spans="1:11" x14ac:dyDescent="0.3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</row>
    <row r="896" spans="1:11" x14ac:dyDescent="0.3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</row>
    <row r="897" spans="1:11" x14ac:dyDescent="0.3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</row>
    <row r="898" spans="1:11" x14ac:dyDescent="0.3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</row>
    <row r="899" spans="1:11" x14ac:dyDescent="0.3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</row>
    <row r="900" spans="1:11" x14ac:dyDescent="0.3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</row>
    <row r="901" spans="1:11" x14ac:dyDescent="0.3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</row>
    <row r="902" spans="1:11" x14ac:dyDescent="0.3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</row>
    <row r="903" spans="1:11" x14ac:dyDescent="0.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</row>
    <row r="904" spans="1:11" x14ac:dyDescent="0.3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</row>
    <row r="905" spans="1:11" x14ac:dyDescent="0.3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</row>
    <row r="906" spans="1:11" x14ac:dyDescent="0.3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</row>
    <row r="907" spans="1:11" x14ac:dyDescent="0.3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</row>
    <row r="908" spans="1:11" x14ac:dyDescent="0.3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</row>
    <row r="909" spans="1:11" x14ac:dyDescent="0.3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</row>
    <row r="910" spans="1:11" x14ac:dyDescent="0.3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</row>
    <row r="911" spans="1:11" x14ac:dyDescent="0.3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</row>
    <row r="912" spans="1:11" x14ac:dyDescent="0.3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</row>
    <row r="913" spans="1:11" x14ac:dyDescent="0.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</row>
    <row r="914" spans="1:11" x14ac:dyDescent="0.3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</row>
    <row r="915" spans="1:11" x14ac:dyDescent="0.3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</row>
    <row r="916" spans="1:11" x14ac:dyDescent="0.3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</row>
    <row r="917" spans="1:11" x14ac:dyDescent="0.3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</row>
    <row r="918" spans="1:11" x14ac:dyDescent="0.3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</row>
    <row r="919" spans="1:11" x14ac:dyDescent="0.3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</row>
    <row r="920" spans="1:11" x14ac:dyDescent="0.3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</row>
    <row r="921" spans="1:11" x14ac:dyDescent="0.3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</row>
    <row r="922" spans="1:11" x14ac:dyDescent="0.3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</row>
    <row r="923" spans="1:11" x14ac:dyDescent="0.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</row>
    <row r="924" spans="1:11" x14ac:dyDescent="0.3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</row>
    <row r="925" spans="1:11" x14ac:dyDescent="0.3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</row>
    <row r="926" spans="1:11" x14ac:dyDescent="0.3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</row>
    <row r="927" spans="1:11" x14ac:dyDescent="0.3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</row>
    <row r="928" spans="1:11" x14ac:dyDescent="0.3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</row>
    <row r="929" spans="1:11" x14ac:dyDescent="0.3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</row>
    <row r="930" spans="1:11" x14ac:dyDescent="0.3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</row>
    <row r="931" spans="1:11" x14ac:dyDescent="0.3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</row>
    <row r="932" spans="1:11" x14ac:dyDescent="0.3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</row>
    <row r="933" spans="1:11" x14ac:dyDescent="0.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</row>
    <row r="934" spans="1:11" x14ac:dyDescent="0.3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</row>
    <row r="935" spans="1:11" x14ac:dyDescent="0.3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</row>
    <row r="936" spans="1:11" x14ac:dyDescent="0.3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</row>
    <row r="937" spans="1:11" x14ac:dyDescent="0.3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</row>
    <row r="938" spans="1:11" x14ac:dyDescent="0.3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</row>
    <row r="939" spans="1:11" x14ac:dyDescent="0.3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</row>
    <row r="940" spans="1:11" x14ac:dyDescent="0.3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</row>
    <row r="941" spans="1:11" x14ac:dyDescent="0.3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</row>
    <row r="942" spans="1:11" x14ac:dyDescent="0.3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</row>
    <row r="943" spans="1:11" x14ac:dyDescent="0.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</row>
    <row r="944" spans="1:11" x14ac:dyDescent="0.3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</row>
    <row r="945" spans="1:11" x14ac:dyDescent="0.3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</row>
    <row r="946" spans="1:11" x14ac:dyDescent="0.3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</row>
    <row r="947" spans="1:11" x14ac:dyDescent="0.3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</row>
    <row r="948" spans="1:11" x14ac:dyDescent="0.3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</row>
    <row r="949" spans="1:11" x14ac:dyDescent="0.3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</row>
    <row r="950" spans="1:11" x14ac:dyDescent="0.3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</row>
    <row r="951" spans="1:11" x14ac:dyDescent="0.3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</row>
    <row r="952" spans="1:11" x14ac:dyDescent="0.3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</row>
    <row r="953" spans="1:11" x14ac:dyDescent="0.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</row>
    <row r="954" spans="1:11" x14ac:dyDescent="0.3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</row>
    <row r="955" spans="1:11" x14ac:dyDescent="0.3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</row>
    <row r="956" spans="1:11" x14ac:dyDescent="0.3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</row>
    <row r="957" spans="1:11" x14ac:dyDescent="0.3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</row>
    <row r="958" spans="1:11" x14ac:dyDescent="0.3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</row>
    <row r="959" spans="1:11" x14ac:dyDescent="0.3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</row>
    <row r="960" spans="1:11" x14ac:dyDescent="0.3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</row>
    <row r="961" spans="1:11" x14ac:dyDescent="0.3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</row>
    <row r="962" spans="1:11" x14ac:dyDescent="0.3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</row>
    <row r="963" spans="1:11" x14ac:dyDescent="0.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</row>
    <row r="964" spans="1:11" x14ac:dyDescent="0.3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</row>
    <row r="965" spans="1:11" x14ac:dyDescent="0.3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</row>
    <row r="966" spans="1:11" x14ac:dyDescent="0.3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</row>
    <row r="967" spans="1:11" x14ac:dyDescent="0.3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</row>
    <row r="968" spans="1:11" x14ac:dyDescent="0.3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</row>
    <row r="969" spans="1:11" x14ac:dyDescent="0.3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</row>
    <row r="970" spans="1:11" x14ac:dyDescent="0.3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</row>
    <row r="971" spans="1:11" x14ac:dyDescent="0.3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</row>
    <row r="972" spans="1:11" x14ac:dyDescent="0.3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</row>
    <row r="973" spans="1:11" x14ac:dyDescent="0.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</row>
    <row r="974" spans="1:11" x14ac:dyDescent="0.3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</row>
    <row r="975" spans="1:11" x14ac:dyDescent="0.3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</row>
    <row r="976" spans="1:11" x14ac:dyDescent="0.3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</row>
    <row r="977" spans="1:11" x14ac:dyDescent="0.3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</row>
    <row r="978" spans="1:11" x14ac:dyDescent="0.3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</row>
    <row r="979" spans="1:11" x14ac:dyDescent="0.3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</row>
    <row r="980" spans="1:11" x14ac:dyDescent="0.3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</row>
    <row r="981" spans="1:11" x14ac:dyDescent="0.3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</row>
    <row r="982" spans="1:11" x14ac:dyDescent="0.3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</row>
    <row r="983" spans="1:11" x14ac:dyDescent="0.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</row>
    <row r="984" spans="1:11" x14ac:dyDescent="0.3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</row>
    <row r="985" spans="1:11" x14ac:dyDescent="0.3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</row>
    <row r="986" spans="1:11" x14ac:dyDescent="0.3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</row>
    <row r="987" spans="1:11" x14ac:dyDescent="0.3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</row>
    <row r="988" spans="1:11" x14ac:dyDescent="0.3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</row>
    <row r="989" spans="1:11" x14ac:dyDescent="0.3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</row>
    <row r="990" spans="1:11" x14ac:dyDescent="0.3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</row>
    <row r="991" spans="1:11" x14ac:dyDescent="0.3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</row>
    <row r="992" spans="1:11" x14ac:dyDescent="0.3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</row>
    <row r="993" spans="1:11" x14ac:dyDescent="0.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</row>
    <row r="994" spans="1:11" x14ac:dyDescent="0.3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</row>
    <row r="995" spans="1:11" x14ac:dyDescent="0.3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</row>
    <row r="996" spans="1:11" x14ac:dyDescent="0.3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</row>
    <row r="997" spans="1:11" x14ac:dyDescent="0.3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</row>
    <row r="998" spans="1:11" x14ac:dyDescent="0.3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</row>
    <row r="999" spans="1:11" x14ac:dyDescent="0.3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</row>
    <row r="1000" spans="1:11" x14ac:dyDescent="0.3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</row>
    <row r="1001" spans="1:11" x14ac:dyDescent="0.3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</row>
  </sheetData>
  <mergeCells count="22">
    <mergeCell ref="A1:G1"/>
    <mergeCell ref="A2:G2"/>
    <mergeCell ref="B15:D15"/>
    <mergeCell ref="B16:D16"/>
    <mergeCell ref="B17:D17"/>
    <mergeCell ref="E3:F3"/>
    <mergeCell ref="E14:F14"/>
    <mergeCell ref="E17:F17"/>
    <mergeCell ref="E18:F18"/>
    <mergeCell ref="E15:F15"/>
    <mergeCell ref="E16:F16"/>
    <mergeCell ref="B5:D5"/>
    <mergeCell ref="B6:D6"/>
    <mergeCell ref="B7:D7"/>
    <mergeCell ref="E5:F5"/>
    <mergeCell ref="E6:F6"/>
    <mergeCell ref="E8:F8"/>
    <mergeCell ref="E9:F9"/>
    <mergeCell ref="E12:F12"/>
    <mergeCell ref="B11:D11"/>
    <mergeCell ref="B12:D12"/>
    <mergeCell ref="B13:D13"/>
  </mergeCells>
  <hyperlinks>
    <hyperlink ref="B17" r:id="rId1" xr:uid="{F5A82901-27B9-46E9-990A-CBD9607F9726}"/>
  </hyperlinks>
  <pageMargins left="0.51181102362204722" right="0.27559055118110232" top="0.51181102362204722" bottom="0.90551181102362199" header="0.31496062992125989" footer="0.31496062992125989"/>
  <pageSetup paperSize="9" scale="90" fitToWidth="0" fitToHeight="0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</vt:i4>
      </vt:variant>
    </vt:vector>
  </HeadingPairs>
  <TitlesOfParts>
    <vt:vector size="18" baseType="lpstr">
      <vt:lpstr>DATOS GENERALES</vt:lpstr>
      <vt:lpstr>apellidos_cliente</vt:lpstr>
      <vt:lpstr>apellidos_conyuge</vt:lpstr>
      <vt:lpstr>dia_pago</vt:lpstr>
      <vt:lpstr>direccion_cliente</vt:lpstr>
      <vt:lpstr>dni_cliente</vt:lpstr>
      <vt:lpstr>dni_conyuge</vt:lpstr>
      <vt:lpstr>fecha_inicio</vt:lpstr>
      <vt:lpstr>int_mensual</vt:lpstr>
      <vt:lpstr>lote</vt:lpstr>
      <vt:lpstr>manzana</vt:lpstr>
      <vt:lpstr>nombre_cliente</vt:lpstr>
      <vt:lpstr>nombre_conyuge</vt:lpstr>
      <vt:lpstr>numero_cuotas</vt:lpstr>
      <vt:lpstr>prestamo</vt:lpstr>
      <vt:lpstr>te_mensual</vt:lpstr>
      <vt:lpstr>tea</vt:lpstr>
      <vt:lpstr>valor_cuota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asesor.proyectos</dc:creator>
  <cp:lastModifiedBy>yobregonc</cp:lastModifiedBy>
  <cp:lastPrinted>2025-05-29T14:50:07Z</cp:lastPrinted>
  <dcterms:created xsi:type="dcterms:W3CDTF">2020-09-30T15:52:24Z</dcterms:created>
  <dcterms:modified xsi:type="dcterms:W3CDTF">2026-04-27T17:53:56Z</dcterms:modified>
</cp:coreProperties>
</file>